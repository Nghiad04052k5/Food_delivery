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SUM26\labl\Food_delivery\ai_logs\"/>
    </mc:Choice>
  </mc:AlternateContent>
  <xr:revisionPtr revIDLastSave="0" documentId="13_ncr:1_{E583E022-5924-40B2-B326-1A7E1BD061D6}" xr6:coauthVersionLast="47" xr6:coauthVersionMax="47" xr10:uidLastSave="{00000000-0000-0000-0000-000000000000}"/>
  <bookViews>
    <workbookView xWindow="-108" yWindow="-108" windowWidth="23256" windowHeight="13176"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<sst xmlns="http://schemas.openxmlformats.org/spreadsheetml/2006/main" count="291" uniqueCount="223">
  <si>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</si>
  <si>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</si>
  <si>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</si>
  <si>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</si>
  <si>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</si>
  <si>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</si>
  <si>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</si>
  <si>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</si>
  <si>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</si>
  <si>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</si>
  <si>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</si>
  <si>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</si>
  <si>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Decomposition</t>
  </si>
  <si>
    <t>002</t>
  </si>
  <si>
    <t>PROBLEM-SOLVING</t>
  </si>
  <si>
    <t>Algorithms</t>
  </si>
  <si>
    <t>003</t>
  </si>
  <si>
    <t>VERIFICATION</t>
  </si>
  <si>
    <t>004</t>
  </si>
  <si>
    <t>Cần xác định cấu trúc dữ liệu &amp; schema cho hệ thống Food Delivery có 8 entities theo yêu cầu đề bài</t>
  </si>
  <si>
    <t>Tạo bộ dữ liệu để add vào database SQL: dựa trên mô tả dự án Food Delivery Network Simulation, xác định các entities và yêu cầu số dòng dữ liệu (18.000+ dòng)</t>
  </si>
  <si>
    <t>AI đề xuất 8 entities: Customer, Restaurant, MenuItem, Driver, Order, OrderItem, DeliveryRoute, SimulationRun. Cung cấp SQL Schema (DDL) cho MySQL/PostgreSQL với kiểu DOUBLE và script Python tạo dữ liệu ngẫu nhiên.</t>
  </si>
  <si>
    <t>Critical Thinking: AI dùng kiểu DOUBLE và VARCHAR không tương thích SQL Server — chạy ra lỗi Msg 102 ngay lập tức. Contextualization: Project dùng SQL Server (SSMS), cần FLOAT và NVARCHAR thay vì DOUBLE và VARCHAR. Creative Synthesis: Tôi test lỗi, xác định nguyên nhân, yêu cầu AI sửa lại đúng T-SQL syntax với CONSTRAINT FK đặt tên rõ ràng. Decision: Giữ lại cấu trúc 8 entity của AI nhưng rewrite toàn bộ DDL theo chuẩn SQL Server.</t>
  </si>
  <si>
    <t>Screenshot lỗi Msg 102/4864 từ SSMS + SQL schema đã sửa</t>
  </si>
  <si>
    <t>005</t>
  </si>
  <si>
    <t>Data generator sinh customers.csv với 2000 dòng nhưng tất cả dùng chung 1 mật khẩu băm SHA-256 — không realistic và thiếu tính bảo mật cá nhân</t>
  </si>
  <si>
    <t>Trong phần mật khẩu, mỗi customer có mật khẩu riêng, được mã hóa khác nhau, nhưng trong code đang dùng chung 1 mật khẩu mã hóa</t>
  </si>
  <si>
    <t>AI xác nhận lỗi và giải thích: đây là lỗi tối ưu hóa sai (pre-hash để tiết kiệm CPU). Đề xuất tạo raw password riêng cho từng user: 'CustomerPassI!' rồi hash SHA-256 bên trong vòng lặp để mỗi dòng ra chuỗi hash khác nhau.</t>
  </si>
  <si>
    <t>Critical Thinking: AI thừa nhận đây là lỗi thiết kế, không phải bug syntax — hash cùng input thì cùng output, nên 2000 dòng ra 1 chuỗi giống nhau là hiển nhiên. Contextualization: Yêu cầu bảo mật thực tế là mỗi user phải có credential độc lập để demo Optimistic Locking và authentication flow. Creative Synthesis: Áp dụng thêm salt-per-user concept: dùng ID làm salt tự nhiên ('CustomerPass1!', 'CustomerPass2!'...). Decision: Di chuyển hashPassword() vào bên trong for loop, bỏ variable pre-computed hash.</t>
  </si>
  <si>
    <t>Code diff: biến hashedPassword chuyển từ ngoài vào trong vòng lặp + kết quả CSV với 2000 chuỗi hash khác nhau</t>
  </si>
  <si>
    <t>006</t>
  </si>
  <si>
    <t>Pattern Recognition</t>
  </si>
  <si>
    <t>Sau khi BULK INSERT restaurants.csv vào SQL Server, cột rating bị lệch — dữ liệu district xuất hiện ở cột rating do địa chỉ chứa dấu phẩy trùng với field delimiter</t>
  </si>
  <si>
    <t>File restaurant bị lệch [kèm screenshot SSMS]</t>
  </si>
  <si>
    <t>AI xác định nguyên nhân: chuỗi 'Street, District 3' chứa dấu phẩy nội tại làm BULK INSERT hiểu nhầm thành field separator. Đề xuất 2 giải pháp: (1) bọc address trong dấu ngoặc kép \", (2) đổi toàn bộ file sang dấu chấm phẩy ';' làm delimiter.</t>
  </si>
  <si>
    <t>Critical Thinking: Giải pháp bọc ngoặc kép của AI không hoàn toàn đúng với BULK INSERT mặc định — SQL Server không tự parse FIELDQUOTE nếu không khai báo FORMAT='CSV'. Test thực tế vẫn ra lỗi Msg 4864. Contextualization: Hệ thống cần import mượt mà không cần cấu hình phức tạp. Creative Synthesis: Tôi áp dụng giải pháp sạch hơn: thay dấu phẩy trong chuỗi địa chỉ bằng dấu gạch ngang '-' ('Street - District 3') để loại bỏ ambiguity hoàn toàn mà không cần quote. Decision: Áp dụng dấu gạch ngang cho cả customers.csv và restaurants.csv để đồng bộ.</t>
  </si>
  <si>
    <t xml:space="preserve">Lỗi Msg 4864 SSMS screenshot + fix trong DataGenerator.generateRestaurants() dùng '- District' thay ',' </t>
  </si>
  <si>
    <t>007</t>
  </si>
  <si>
    <t>Abstraction</t>
  </si>
  <si>
    <t>Sau khi bulk insert toàn bộ 7 bảng, cần verify tính đồng nhất dữ liệu: check xem có xung đột FK, lệch tổng tiền, hoặc món ăn chéo nhà hàng không</t>
  </si>
  <si>
    <t>Kiểm tra xem các dữ liệu có đồng nhất chưa, có xung đột dữ liệu giữa các file không, nếu có hãy chỉ ra các lỗi dữ liệu đó</t>
  </si>
  <si>
    <t>AI cung cấp 4 SQL verification queries: (1) orphan orders không có customer/driver hợp lệ, (2) order_items chứa món không thuộc nhà hàng xử lý đơn, (3) total_price trong orders vs. tổng tính từ order_items, (4) driver AVAILABLE nhưng đang có đơn DELIVERING. Kết quả: Lỗi 2 và Lỗi 3 xuất hiện.</t>
  </si>
  <si>
    <t>Critical Thinking: AI đã phát hiện HALLUCINATION LOGIC trong chính code nó tạo ra — generateOrders() sinh total_price ngẫu nhiên (50k-400k) độc lập với generateOrderItems(), dẫn đến chênh lệch hàng triệu đồng. Contextualization: Đây là lỗi nghiêm trọng vì hệ thống mô phỏng dùng total_price để tính revenue analytics. Creative Synthesis: Refactor hoàn toàn logic: gộp generateOrders() + generateOrderItems() thành một hàm duy nhất generateOrdersAndItemsAndRoutes(), dùng Map&lt;Integer,List&lt;MenuItem&gt;&gt; phân nhóm món theo nhà hàng, cộng dồn computedTotalPrice thực tế. Decision: Rewrite data generator, chạy lại BULK INSERT, verify lại — cả 4 query đều trả về 0 rows.</t>
  </si>
  <si>
    <t>SQL verification query results (Lỗi 2 &amp; 3 có dữ liệu → sau fix trả về 0 rows) + code diff hàm generateOrdersAndItemsAndRoutes()</t>
  </si>
  <si>
    <t>AI AUDIT LOG - METADATA &amp; SUMMARY</t>
  </si>
  <si>
    <t>STUDENT INFORMATION</t>
  </si>
  <si>
    <t>Student Name:</t>
  </si>
  <si>
    <t>Trần Thanh Nguyên</t>
  </si>
  <si>
    <t>Student ID:</t>
  </si>
  <si>
    <t>QE200015</t>
  </si>
  <si>
    <t>Course:</t>
  </si>
  <si>
    <t>LAB211</t>
  </si>
  <si>
    <t>Assignment:</t>
  </si>
  <si>
    <t>Food Delivery Network Simulation</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</si>
  <si>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</si>
  <si>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</si>
  <si>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</si>
  <si>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</si>
  <si>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</si>
  <si>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</si>
  <si>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</si>
  <si>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</si>
  <si>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</si>
  <si>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</si>
  <si>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</si>
  <si>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</si>
  <si>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</si>
  <si>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</si>
  <si>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</si>
  <si>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</si>
  <si>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</si>
  <si>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</si>
  <si>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</si>
  <si>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</si>
  <si>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</si>
  <si>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</si>
  <si>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Gemini</t>
  </si>
  <si>
    <t>Code generation, data creation, SQL fix</t>
  </si>
  <si>
    <t>Speed up coding &amp; data setup</t>
  </si>
  <si>
    <t>Antigravity</t>
  </si>
  <si>
    <t>CORE PROMPTS DISTRIBUTION BY DTC COMPONENT</t>
  </si>
  <si>
    <t>DTC Component</t>
  </si>
  <si>
    <t>Number of Prompts</t>
  </si>
  <si>
    <t>Required (Min)</t>
  </si>
  <si>
    <t>≥ 1</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</si>
  <si>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</si>
  <si>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</si>
  <si>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</si>
  <si>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</si>
  <si>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</si>
  <si>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</si>
  <si>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</si>
  <si>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</si>
  <si>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</si>
  <si>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Logic Error</t>
  </si>
  <si>
    <t>Pre-computing một hash duy nhất rồi gán cho tất cả 2000 users là cách tối ưu vì tiết kiệm CPU</t>
  </si>
  <si>
    <t>Hash function là deterministic: cùng input → cùng output. Tất cả 2000 dòng có cùng chuỗi hash, vi phạm yêu cầu mật khẩu riêng biệt.</t>
  </si>
  <si>
    <t>Đọc kỹ code output, nhận ra biến hashedPassword được tính 1 lần trước for loop → 2000 dòng cùng giá trị</t>
  </si>
  <si>
    <t>Chuyển hashPassword() vào bên trong vòng lặp, truyền rawPassword riêng cho từng ID</t>
  </si>
  <si>
    <t>Oversimplification</t>
  </si>
  <si>
    <t>Bọc địa chỉ bằng dấu ngoặc kép (FIELDQUOTE) là đủ để SQL Server BULK INSERT không bị lệch cột</t>
  </si>
  <si>
    <t>BULK INSERT mặc định của SQL Server KHÔNG xử lý FIELDQUOTE nếu không khai báo FORMAT='CSV'. Test thực tế vẫn ra lỗi Msg 4864.</t>
  </si>
  <si>
    <t>Chạy BULK INSERT theo hướng dẫn của AI → vẫn lỗi Msg 4864 type mismatch ở cột rating</t>
  </si>
  <si>
    <t>Thay dấu phẩy trong chuỗi địa chỉ bằng dấu gạch ngang '-' để loại bỏ ambiguity mà không cần FIELDQUOTE</t>
  </si>
  <si>
    <t>Script Java sinh total_price ngẫu nhiên độc lập (50k-400k) trong bảng orders là hợp lệ</t>
  </si>
  <si>
    <t>total_price phải bằng SUM(quantity x price_at_time) của order_items. Chênh lệch thực tế hàng triệu đồng; SQL verification Lỗi 3 trả về 3000+ đơn hàng sai.</t>
  </si>
  <si>
    <t>Chạy SQL query ABS(o.total_price - SUM(oi.quantity * oi.price_at_time)) &gt; 0.01 → toàn bộ đơn hàng bị sai</t>
  </si>
  <si>
    <t>Gộp generateOrders() + generateOrderItems() thành hàm đồng bộ, tính computedTotalPrice bằng cộng dồn thực tế</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</si>
  <si>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</si>
  <si>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</si>
  <si>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</si>
  <si>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</si>
  <si>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</si>
  <si>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</si>
  <si>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</si>
  <si>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</si>
  <si>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</si>
  <si>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</si>
  <si>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</si>
  <si>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</si>
  <si>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</si>
  <si>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</si>
  <si>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</si>
  <si>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</si>
  <si>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Hash function là deterministic: cùng input → cùng output. Tất cả 2000 dòng có cùng chuỗi hash, vi phạm yêu cầu 'mật khẩu riêng biệt'.</t>
  </si>
  <si>
    <t>BULK INSERT mặc định của SQL Server KHÔNG xử lý FIELDQUOTE; phải khai báo FORMAT='CSV' hoặc dùng OPENROWSET. Test thực tế vẫn ra lỗi Msg 4864.</t>
  </si>
  <si>
    <t>Script Python/Java sinh total_price ngẫu nhiên độc lập (50k–400k) trong bảng orders là hợp lệ</t>
  </si>
  <si>
    <t>total_price phải bằng SUM(quantity × price_at_time) của order_items tương ứng. Chênh lệch thực tế lên đến hàng triệu đồng — SQL verification query Lỗi 3 trả về toàn bộ 3000+ đơn hàng bị sai.</t>
  </si>
  <si>
    <t>Chạy SQL verification query: SELECT ABS(o.total_price - SUM(oi.quantity * oi.price_at_time)) → tất cả đơn hàng đều có chênh lệch</t>
  </si>
  <si>
    <t>Gộp generateOrders() + generateOrderItems() thành hàm đồng bộ, tính computedTotalPrice bằng cộng dồn thực tế trước khi ghi file</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</si>
  <si>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</si>
  <si>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</si>
  <si>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</si>
  <si>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</si>
  <si>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</si>
  <si>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</si>
  <si>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</si>
  <si>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</si>
  <si>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</si>
  <si>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</si>
  <si>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</si>
  <si>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</si>
  <si>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</si>
  <si>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</si>
  <si>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Có thể giải thích từng quyết định: DOUBLE→FLOAT, salt-per-user password, dấu gạch ngang thay phẩy, computedTotalPrice</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</si>
  <si>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</si>
  <si>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</si>
  <si>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</si>
  <si>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</si>
  <si>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</si>
  <si>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</si>
  <si>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</si>
  <si>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</si>
  <si>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</si>
  <si>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3 hallucinations detected (entries 005, 006, 007) — đủ ≥2 yêu cầu cho Assignment</t>
  </si>
  <si>
    <t>Mỗi entry đều có Human Delta đầy đủ (4 câu hỏi)?</t>
  </si>
  <si>
    <t>Tất cả 4 entries đều có đủ: Critical Thinking + Contextualization + Creative Synthesis + Decision</t>
  </si>
  <si>
    <t>Có evidence cho ≥70% entries?</t>
  </si>
  <si>
    <t>100% entries có evidence (4/4): screenshots SSMS, code diff, SQL query results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</si>
  <si>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</si>
  <si>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</si>
  <si>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</si>
  <si>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</si>
  <si>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</si>
  <si>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</si>
  <si>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</si>
  <si>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</si>
  <si>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lý do gộp 10 modules thành 5</t>
  </si>
  <si>
    <t>Có — AI gợi ý 10 modules</t>
  </si>
  <si>
    <t>Có — lý do chọn HashMap thay Binary Search</t>
  </si>
  <si>
    <t>Có — AI gợi ý Binary Search O(log n)</t>
  </si>
  <si>
    <t>Có — code + timing</t>
  </si>
  <si>
    <t>Có — đây là hallucination fabrication điển hình</t>
  </si>
  <si>
    <t>Có — AI xác nhận paper tồn tại (sai)</t>
  </si>
  <si>
    <t>Có — SQL Server dùng FLOAT/NVARCHAR, không dùng DOUBLE/VARCHAR</t>
  </si>
  <si>
    <t>Có — AI cung cấp DDL MySQL chuẩn rồi sửa sang T-SQL</t>
  </si>
  <si>
    <t>Có — lỗi Msg 102 + DDL đã sửa</t>
  </si>
  <si>
    <t>Có — hash deterministic: cùng input = cùng output, phải hash trong loop</t>
  </si>
  <si>
    <t>Có — AI thừa nhận lỗi pre-hash và đề xuất fix</t>
  </si>
  <si>
    <t>Có — CSV diff 2000 chuỗi hash khác nhau</t>
  </si>
  <si>
    <t>Có — BULK INSERT không parse FIELDQUOTE mặc định, fix bằng '-' trong chuỗi</t>
  </si>
  <si>
    <t>Có — AI đề xuất 2 giải pháp, giải pháp 1 không work</t>
  </si>
  <si>
    <t>Có — Msg 4864 screenshot + code fix</t>
  </si>
  <si>
    <t>Có — total_price phải = SUM(qty*price), không thể random độc lập</t>
  </si>
  <si>
    <t>Có — AI cung cấp 4 SQL verification queries và phát hiện lỗi</t>
  </si>
  <si>
    <t>Có — SQL query trả về 0 rows sau fix</t>
  </si>
  <si>
    <t>Có</t>
  </si>
  <si>
    <t>high</t>
  </si>
  <si>
    <t>Entries 001-004: mỗi prompt đều dẫn đến thay đổi schema DB, logic data generator, hoặc kiến trúc import pipeline</t>
  </si>
  <si>
    <t>001 → đổi toàn bộ DDL sang T-SQL; 003 → đổi cách encode địa chỉ CSV; 004 → refactor data generator</t>
  </si>
  <si>
    <t>4 entries (001-004) từ Gemini session + 001-003 từ template). Tổng hợp hợp lệ.</t>
  </si>
  <si>
    <t>Decomposition ✓ (001), Pattern Recognition ✓ (003), Abstraction ✓ (004), Algorithms ✓ (002)</t>
  </si>
  <si>
    <t>JUnit test OrderContentionJUnitTest chạy thành công nhưng chưa in kết quả ra màn hình — không thể quan sát được luồng nào thắng tranh chấp Optimistic Locking và tổng số OptimisticLockException được ném ra trong suốt quá trình test.</t>
  </si>
  <si>
    <t>"test chạy đc nhưng muốn in ra màn hình kết quả chạy thì làm ntn" (kèm code OrderContentionJUnitTest.java và OrderRepository.java)</t>
  </si>
  <si>
    <t>AI đọc code, xác định test đang có 5 driver tranh 1 order nhưng biến numOrders chưa được dùng. Đề xuất thêm System.out.println() tại 3 điểm: (1) trước latch.await() để confirm driver sẵn sàng, (2) ngay sau khi gán đơn thành công với tag [SUCCESS], (3) khi bắt OptimisticLockException với tag [FAILED]. Thêm bảng tổng kết sau awaitTermination() in: tổng tài xế, số thành công, số OptimisticLock, số lỗi khác. Thêm vòng for in chi tiết từng Order sau assertEquals.</t>
  </si>
  <si>
    <t>Critical Thinking: AI viết lại method test với biến 'numOrders = 5' nhưng vòng setUp() vẫn chỉ tạo 1 đơn hàng trong file CSV — mâu thuẫn giữa numOrders khai báo và dữ liệu thực tế sẽ khiến findById(2..5) luôn trả về null và bảng in cuối cùng bị thiếu dòng, hoặc gây NullPointerException khi assert.
Contextualization: Mục tiêu lúc này chỉ là quan sát output của test 5-driver-vs-1-order đang hoạt động đúng — không cần mở rộng numOrders ngay.
Creative Synthesis: Chỉ lấy phần System.out.println() từ code AI đề xuất, bỏ phần thay đổi numOrders và vòng for in 5 order (vì CSV chỉ có 1 order). Giữ assertEquals(1, successCount) và assertEquals(4, exceptionCount) nguyên bản.
Decision: Thêm logging vào đúng 3 điểm AI chỉ ra, giữ nguyên cấu trúc test ban đầu, không mở rộng sang multi-order ở bước này.</t>
  </si>
  <si>
    <t>Console output sau khi thêm println: [SUCCESS] Driver 10X nhận đơn thành công + 4 dòng [FAILED] OptimisticLockException + bảng tổng kết 'Nhận đơn thành công: 1 / OptimisticLock: 4'</t>
  </si>
  <si>
    <t>Sau khi test 5-driver-1-order hoạt động đúng, nhóm muốn mở rộng kịch bản lên 10 tài xế tranh 6 đơn hàng để mô phỏng sát hơn tình huống thực tế của Food Delivery, đồng thời vẫn đảm bảo assert chính xác.</t>
  </si>
  <si>
    <t>"oke sửa đi" (yêu cầu AI mở rộng kịch bản 10 tài xế - 6 đơn hàng, phân phối và assert đúng)</t>
  </si>
  <si>
    <t>AI đề xuất cấu trúc với NUM_DRIVERS=10, NUM_ORDERS=6 làm hằng số class. Phân phối tài xế sang đơn theo công thức: orderId = ((driverId - 101) % numOrders) + 1. Kết quả: Driver 101→Order1, 102→Order2, ..., 106→Order6, 107→Order1, ..., 110→Order4. Order 1-4 bị 2 tài xế tranh, Order 5-6 chỉ 1 tài xế → successCount=6, exceptionCount=4. Sửa assert thành assertEquals(numOrders, successCount) và assertEquals(numDrivers-numOrders, exceptionCount). Thêm vòng assert cuối kiểm tra từng order: status=CONFIRMED, driverId!=null, version=1.</t>
  </si>
  <si>
    <t>Critical Thinking: Công thức phân phối ((driverId - 101) % numOrders) + 1 của AI là deterministic — Order 5 và Order 6 chỉ có đúng 1 tài xế nên KHÔNG xảy ra tranh chấp thực sự, hai đơn này sẽ luôn CONFIRMED mà không qua OptimisticLockException. Bài toán Optimistic Locking chỉ được kiểm tra trên 4/6 đơn hàng, không phải toàn bộ.
Contextualization: Để test có ý nghĩa demo concurrency cho GV, ít nhất mỗi đơn hàng cần ≥2 tài xế tranh chấp — tức là phải dùng NUM_DRIVERS &gt; 2×NUM_ORDERS hoặc đổi sang phân phối random.
Creative Synthesis: Áp dụng nguyên xi phân phối deterministic của AI cho kịch bản 10-driver-6-order vì đủ để demo cơ chế Optimistic Locking (4 order vẫn có tranh chấp). Ghi chú vào comment code giải thích trade-off để tránh bị GV hỏi 'tại sao Order 5-6 không có OptimisticLockException'.
Decision: Dùng công thức AI đề xuất, giữ NUM_DRIVERS=10, NUM_ORDERS=6, thêm comment giải thích phân phối; không đổi sang random vì kết quả assert sẽ không deterministic.</t>
  </si>
  <si>
    <t>Console output bảng kết quả: successCount=6, exceptionCount=4, otherError=0 + bảng 6 đơn hàng với CONFIRMED/version=1 + comment code giải thích phân phối deterministic</t>
  </si>
  <si>
    <t>Sau khi mở rộng kịch bản lên 10-driver-6-order, GV hỏi thêm về cách random số trong Java và liệu có thể dùng random để phân phối tài xế vào đơn hàng thay vì công thức modulo cố định.</t>
  </si>
  <si>
    <t>"hàm random số trong jv"</t>
  </si>
  <si>
    <t>AI liệt kê 4 cách: (1) Math.random() trả về double [0.0, 1.0), (2) công thức (int)(Math.random()*(max-min+1))+min để lấy int trong khoảng bất kỳ, (3) new Random() với rand.nextInt(n) trả về [0, n-1], (4) ThreadLocalRandom.current().nextInt(1, n+1) — Java 17, thread-safe hơn Random. Đề xuất dùng ThreadLocalRandom để mỗi tài xế chọn orderId ngẫu nhiên thay vì công thức modulo.</t>
  </si>
  <si>
    <t>Critical Thinking: AI đề xuất ThreadLocalRandom để thay công thức modulo — tuy nhiên với assert kiểu assertEquals(numOrders, successCount), random phân phối sẽ gây ra xác suất cao một số đơn không có tài xế nào chọn (nếu random tạo ra 10 driver cùng tranh 3 đơn), successCount có thể nhỏ hơn numOrders và test FAIL không phải do lỗi logic mà do phân phối xác suất — đây là test flaky (kết quả không ổn định giữa các lần chạy).
Contextualization: Trong JUnit test cho cơ chế Optimistic Locking, điều quan trọng là kết quả PHẢI reproducible và deterministic để GV review được; test flaky là anti-pattern nghiêm trọng trong môi trường học thuật lẫn production.
Creative Synthesis: Ghi nhận 4 cách random mà AI trình bày vào tài liệu học tập. Chỉ dùng ThreadLocalRandom trong setUp() để tạo dữ liệu mẫu (sinh customerId/totalPrice ngẫu nhiên), KHÔNG dùng để phân phối orderId trong vòng lặp tranh chấp.
Decision: Giữ công thức modulo deterministic cho phân phối driver→order; bổ sung ThreadLocalRandom vào setUp() cho dữ liệu mẫu thực tế hơn (customerId random 1-2000).</t>
  </si>
  <si>
    <t>Đoạn code setUp() dùng ThreadLocalRandom sinh customerId/totalPrice ngẫu nhiên + giải thích trong comment tại sao KHÔNG dùng random cho phân phối orderId trong test</t>
  </si>
  <si>
    <t>Trong quá trình chạy test trên Windows, file CSV test_orders_junit4.csv bị lock bởi OS sau khi JUnit kết thúc — các lần chạy lại liên tiếp gây lỗi 'The process cannot access the file because it is being used by another process'. tearDown() dùng file.delete() nhưng vẫn thất bại do Java's GC chưa giải phóng FileInputStream.</t>
  </si>
  <si>
    <t>"phát hiện lỗi" + "đây là lỗi gì" (kèm 2 screenshot lỗi file lock từ SSMS/IDE và code tearDown() dùng file.delete())</t>
  </si>
  <si>
    <t>AI xác định đây là Windows File Lock — JVM giữ handle file sau khi các worker thread kết thúc nhưng GC chưa collect các Stream object. Đề xuất 2 fix: (1) thêm System.gc() trong tearDown() trước file.delete() để ép GC release handle; (2) đổi file.delete() thành file.deleteOnExit() để OS tự xóa khi JVM process thoát hoàn toàn, tránh tranh chấp lock ở mili-giây hiện tại. Giải thích: deleteOnExit() đăng ký shutdown hook với JVM, an toàn hơn delete() trực tiếp khi còn thread đang chạy.</t>
  </si>
  <si>
    <t>Critical Thinking: System.gc() KHÔNG đảm bảo GC sẽ chạy ngay lập tức — đây là 'hint' cho JVM chứ không phải lệnh bắt buộc (theo Java spec). Trên Windows với JUnit runner, System.gc() thường đủ để release handle trong practice vì thread pool đã shutdown, nhưng không phải giải pháp đảm bảo 100%.
Contextualization: Trong môi trường CI/CD hoặc chạy test liên tục, deleteOnExit() không phải giải pháp lý tưởng vì file chỉ bị xóa khi JVM tắt hoàn toàn — nếu chạy nhiều test class liên tiếp trong cùng JVM process, file sẽ tích lũy trong thư mục.
Creative Synthesis: Kết hợp cả hai: System.gc() trong tearDown() để release handle ngay sau test, deleteOnExit() làm safety net nếu delete() vẫn thất bại. Về dài hạn, cần đổi CsvRepository sang dùng try-with-resources đóng stream ngay sau mỗi read/write thay vì để JVM tự quản lý.
Decision: Áp dụng System.gc() + deleteOnExit() như AI đề xuất cho bản nộp Tuần này. Ghi note kỹ thuật vào comment: đây là workaround cho Windows File Lock, không phải best practice — giải pháp đúng là CsvRepository đóng stream ngay sau dùng.</t>
  </si>
  <si>
    <t>Screenshot lỗi 'The process cannot access the file' + tearDown() code sau khi fix (System.gc() + file.deleteOnExit()) + comment giải thích trade-off vs try-with-resources</t>
  </si>
  <si>
    <t>008</t>
  </si>
  <si>
    <t>AI viết lại method test với biến 'numOrders = 5' và vòng for in 5 đơn hàng sau assertEquals — ngụ ý setUp() đã tạo sẵn 5 đơn hàng trong file CSV.</t>
  </si>
  <si>
    <t>setUp() trong code gốc chỉ tạo đúng 1 đơn hàng (order_id=1) trong file CSV test. Nếu chạy vòng for i=1..5 gọi repo.findById(i), findById(2..5) trả về null và gây NullPointerException tại assert, hoặc in ra bảng thiếu 4 dòng.</t>
  </si>
  <si>
    <t>Đối chiếu code setUp() (chỉ write 1 dòng CSV) với numOrders=5 và vòng for findById(1..5) trong đề xuất của AI — nhận ra mâu thuẫn trước khi áp dụng.</t>
  </si>
  <si>
    <t>Chỉ lấy phần System.out.println() từ đề xuất AI, bỏ phần thay đổi numOrders và vòng for in 5 order. Giữ nguyên cấu trúc test và setUp() ban đầu.</t>
  </si>
  <si>
    <t>AI đề xuất dùng ThreadLocalRandom để mỗi tài xế chọn orderId ngẫu nhiên, khẳng định đây là cách 'giống tình huống thực tế hơn' so với công thức modulo cố định.</t>
  </si>
  <si>
    <t>Dùng random cho orderId trong JUnit test tạo ra test flaky (kết quả không ổn định): random có thể khiến một số đơn không có tài xế nào tranh chấp → successCount &lt; numOrders → assertEquals(numOrders, successCount) FAIL không phải do lỗi logic mà do phân phối xác suất. Test flaky là anti-pattern nghiêm trọng trong môi trường test tự động.</t>
  </si>
  <si>
    <t>Phân tích xác suất: với 10 driver random trong 6 đơn, xác suất ít nhất 1 đơn không được chọn là ~15% → test sẽ fail khoảng 1/6 lần chạy mà không có lỗi thực sự trong code.</t>
  </si>
  <si>
    <t>Giữ công thức modulo deterministic cho phân phối driver→order trong vòng lặp tranh chấp; chỉ dùng ThreadLocalRandom trong setUp() để sinh dữ liệu mẫu (customerId, totalPrice).</t>
  </si>
  <si>
    <t>001: console output với [SUCCESS]/[FAILED] tags; 002: bảng 6 đơn CONFIRMED/version=1; 003: phân tích xác suất ~15% fail; 004: screenshot lỗi + tearDown() code sau fix</t>
  </si>
  <si>
    <t>Mỗi entry đều bác bỏ ít nhất một phần đề xuất của AI: không mở rộng numOrders (001), ghi chú trade-off deterministic/random (002-003), ghi chú workaround vs best practice (004)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</si>
</sst>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9"/>
      <name val="Arial"/>
    </font>
    <font>
      <b/>
      <sz val="10"/>
      <color rgb="FFFFFFFF"/>
      <name val="Arial"/>
    </font>
    <font>
      <b/>
      <sz val="9"/>
      <color rgb="FFFFFFFF"/>
      <name val="Arial"/>
    </font>
    <font>
      <b/>
      <sz val="9"/>
      <name val="Arial"/>
    </font>
    <font>
      <b/>
      <sz val="10"/>
      <name val="Arial"/>
    </font>
    <font>
      <b/>
      <sz val="9"/>
      <color rgb="FF000000"/>
      <name val="Arial"/>
    </font>
    <font>
      <sz val="9"/>
      <color rgb="FF000000"/>
      <name val="Arial"/>
    </font>
    <font>
      <sz val="9"/>
      <name val="Arial"/>
      <family val="2"/>
    </font>
  </fonts>
  <fills count="12">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DEEAF1"/>
      </patternFill>
    </fill>
    <fill>
      <patternFill patternType="solid">
        <fgColor rgb="FF2F5597"/>
      </patternFill>
    </fill>
    <fill>
      <patternFill patternType="solid">
        <fgColor rgb="FFE2EFDA"/>
      </patternFill>
    </fill>
    <fill>
      <patternFill patternType="solid">
        <fgColor rgb="FF375623"/>
      </patternFill>
    </fill>
    <fill>
      <patternFill patternType="solid">
        <fgColor rgb="FFFCE4D6"/>
      </patternFill>
    </fill>
    <fill>
      <patternFill patternType="solid">
        <fgColor rgb="FF7B3F00"/>
      </patternFill>
    </fill>
    <fill>
      <patternFill patternType="solid">
        <fgColor rgb="FFFFF2CC"/>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2" xfId="0" applyBorder="1" applyAlignment="1">
      <alignment horizontal="left" vertical="top" wrapText="1"/>
    </xf>
    <xf numFmtId="0" fontId="14" fillId="6" borderId="3" xfId="0" applyFont="1" applyFill="1" applyBorder="1" applyAlignment="1">
      <alignment horizontal="center" vertical="center"/>
    </xf>
    <xf numFmtId="0" fontId="15" fillId="6" borderId="3"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13" fillId="5" borderId="3" xfId="0" applyFont="1" applyFill="1" applyBorder="1" applyAlignment="1">
      <alignment horizontal="left" vertical="top" wrapText="1"/>
    </xf>
    <xf numFmtId="0" fontId="15" fillId="8"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3" fillId="7" borderId="3" xfId="0" applyFont="1" applyFill="1" applyBorder="1" applyAlignment="1">
      <alignment horizontal="left" vertical="top" wrapText="1"/>
    </xf>
    <xf numFmtId="0" fontId="16" fillId="9" borderId="3" xfId="0" applyFont="1" applyFill="1" applyBorder="1" applyAlignment="1">
      <alignment horizontal="center" vertical="center" wrapText="1"/>
    </xf>
    <xf numFmtId="0" fontId="13" fillId="9" borderId="3" xfId="0" applyFont="1" applyFill="1" applyBorder="1" applyAlignment="1">
      <alignment horizontal="left" vertical="top" wrapText="1"/>
    </xf>
    <xf numFmtId="0" fontId="15" fillId="10" borderId="3" xfId="0" applyFont="1" applyFill="1" applyBorder="1" applyAlignment="1">
      <alignment horizontal="center" vertical="center" wrapText="1"/>
    </xf>
    <xf numFmtId="0" fontId="17" fillId="9" borderId="3" xfId="0" applyFont="1" applyFill="1" applyBorder="1" applyAlignment="1">
      <alignment horizontal="center" vertical="center"/>
    </xf>
    <xf numFmtId="0" fontId="17" fillId="11" borderId="3" xfId="0" applyFont="1" applyFill="1" applyBorder="1" applyAlignment="1">
      <alignment horizontal="center" vertical="center"/>
    </xf>
    <xf numFmtId="0" fontId="13" fillId="11" borderId="3" xfId="0" applyFont="1" applyFill="1" applyBorder="1" applyAlignment="1">
      <alignment horizontal="left" vertical="top" wrapText="1"/>
    </xf>
    <xf numFmtId="0" fontId="18" fillId="7" borderId="3" xfId="0" applyFont="1" applyFill="1" applyBorder="1" applyAlignment="1">
      <alignment horizontal="center" vertical="center" wrapText="1"/>
    </xf>
    <xf numFmtId="0" fontId="19" fillId="7" borderId="3"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7" fillId="9" borderId="3" xfId="0" quotePrefix="1" applyFont="1" applyFill="1" applyBorder="1" applyAlignment="1">
      <alignment horizontal="center" vertical="center"/>
    </xf>
    <xf numFmtId="0" fontId="17" fillId="11" borderId="3" xfId="0" quotePrefix="1" applyFont="1" applyFill="1" applyBorder="1" applyAlignment="1">
      <alignment horizontal="center" vertical="center"/>
    </xf>
    <xf numFmtId="0" fontId="14" fillId="6" borderId="3" xfId="0" quotePrefix="1" applyFont="1" applyFill="1" applyBorder="1" applyAlignment="1">
      <alignment horizontal="center" vertical="center"/>
    </xf>
    <xf numFmtId="0" fontId="16" fillId="11" borderId="3" xfId="0" applyFont="1" applyFill="1" applyBorder="1" applyAlignment="1">
      <alignment horizontal="center" vertical="center" wrapText="1"/>
    </xf>
    <xf numFmtId="0" fontId="0" fillId="0" borderId="0" xfId="0" applyAlignment="1">
      <alignment horizontal="center" vertical="center"/>
    </xf>
    <xf numFmtId="0" fontId="20" fillId="5" borderId="3" xfId="0" applyFont="1" applyFill="1" applyBorder="1" applyAlignment="1">
      <alignment horizontal="lef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3" fillId="9" borderId="3" xfId="0" applyFont="1" applyFill="1" applyBorder="1" applyAlignment="1">
      <alignment horizontal="center" vertical="center" wrapText="1"/>
    </xf>
    <xf numFmtId="0" fontId="13" fillId="11"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6" workbookViewId="0">
      <selection activeCell="C12" sqref="C12"/>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41" t="s">
        <v>44</v>
      </c>
      <c r="B1" s="42"/>
      <c r="C1" s="42"/>
      <c r="D1" s="42"/>
      <c r="E1" s="42"/>
      <c r="F1" s="42"/>
    </row>
    <row r="3" spans="1:6" ht="18" customHeight="1" x14ac:dyDescent="0.35">
      <c r="A3" s="1" t="s">
        <v>45</v>
      </c>
    </row>
    <row r="4" spans="1:6" x14ac:dyDescent="0.3">
      <c r="A4" s="2" t="s">
        <v>46</v>
      </c>
      <c r="C4" t="s">
        <v>47</v>
      </c>
    </row>
    <row r="5" spans="1:6" x14ac:dyDescent="0.3">
      <c r="A5" s="2" t="s">
        <v>48</v>
      </c>
      <c r="C5" t="s">
        <v>49</v>
      </c>
    </row>
    <row r="6" spans="1:6" x14ac:dyDescent="0.3">
      <c r="A6" s="2" t="s">
        <v>50</v>
      </c>
      <c r="C6" t="s">
        <v>51</v>
      </c>
    </row>
    <row r="7" spans="1:6" x14ac:dyDescent="0.3">
      <c r="A7" s="2" t="s">
        <v>52</v>
      </c>
      <c r="C7" t="s">
        <v>53</v>
      </c>
    </row>
    <row r="9" spans="1:6" ht="18" customHeight="1" x14ac:dyDescent="0.35">
      <c r="A9" s="1" t="s">
        <v>54</v>
      </c>
    </row>
    <row r="10" spans="1:6" x14ac:dyDescent="0.3">
      <c r="A10" s="2" t="s">
        <v>55</v>
      </c>
      <c r="C10">
        <v>45</v>
      </c>
    </row>
    <row r="11" spans="1:6" x14ac:dyDescent="0.3">
      <c r="A11" s="2" t="s">
        <v>56</v>
      </c>
      <c r="C11" s="3">
        <v>8</v>
      </c>
    </row>
    <row r="12" spans="1:6" x14ac:dyDescent="0.3">
      <c r="A12" s="2" t="s">
        <v>57</v>
      </c>
      <c r="C12" s="4">
        <f>C11/C10</f>
        <v>0.17777777777777778</v>
      </c>
      <c r="E12" s="5" t="s">
        <v>58</v>
      </c>
    </row>
    <row r="13" spans="1:6" x14ac:dyDescent="0.3">
      <c r="A13" s="2" t="s">
        <v>59</v>
      </c>
      <c r="C13" s="3">
        <v>5</v>
      </c>
    </row>
    <row r="15" spans="1:6" ht="18" customHeight="1" x14ac:dyDescent="0.35">
      <c r="A15" s="1" t="s">
        <v>60</v>
      </c>
    </row>
    <row r="16" spans="1:6" x14ac:dyDescent="0.3">
      <c r="A16" s="6" t="s">
        <v>61</v>
      </c>
      <c r="B16" s="6" t="s">
        <v>62</v>
      </c>
      <c r="C16" s="6" t="s">
        <v>63</v>
      </c>
      <c r="D16" s="6" t="s">
        <v>64</v>
      </c>
    </row>
    <row r="17" spans="1:4" x14ac:dyDescent="0.3">
      <c r="A17" s="7" t="s">
        <v>65</v>
      </c>
      <c r="B17" s="7" t="s">
        <v>66</v>
      </c>
      <c r="C17" s="7" t="s">
        <v>67</v>
      </c>
      <c r="D17" s="7" t="s">
        <v>68</v>
      </c>
    </row>
    <row r="18" spans="1:4" x14ac:dyDescent="0.3">
      <c r="A18" s="7" t="s">
        <v>69</v>
      </c>
      <c r="B18" s="7" t="s">
        <v>70</v>
      </c>
      <c r="C18" s="7" t="s">
        <v>71</v>
      </c>
      <c r="D18" s="7" t="s">
        <v>72</v>
      </c>
    </row>
    <row r="19" spans="1:4" x14ac:dyDescent="0.3">
      <c r="A19" s="7" t="s">
        <v>73</v>
      </c>
      <c r="B19" s="7" t="s">
        <v>74</v>
      </c>
      <c r="C19" s="7" t="s">
        <v>67</v>
      </c>
      <c r="D19" s="7" t="s">
        <v>75</v>
      </c>
    </row>
    <row r="20" spans="1:4" x14ac:dyDescent="0.3">
      <c r="A20" s="7" t="s">
        <v>76</v>
      </c>
      <c r="B20" s="7" t="s">
        <v>77</v>
      </c>
      <c r="C20" s="7" t="s">
        <v>67</v>
      </c>
      <c r="D20" t="s">
        <v>78</v>
      </c>
    </row>
    <row r="21" spans="1:4" x14ac:dyDescent="0.3">
      <c r="A21" s="18" t="s">
        <v>79</v>
      </c>
      <c r="B21" s="7" t="s">
        <v>66</v>
      </c>
      <c r="C21" s="18" t="s">
        <v>187</v>
      </c>
      <c r="D21" t="s">
        <v>78</v>
      </c>
    </row>
    <row r="22" spans="1:4" ht="18" customHeight="1" x14ac:dyDescent="0.35">
      <c r="A22" s="1" t="s">
        <v>80</v>
      </c>
    </row>
    <row r="23" spans="1:4" x14ac:dyDescent="0.3">
      <c r="A23" s="6" t="s">
        <v>81</v>
      </c>
      <c r="B23" s="6" t="s">
        <v>82</v>
      </c>
      <c r="C23" s="6" t="s">
        <v>83</v>
      </c>
    </row>
    <row r="24" spans="1:4" x14ac:dyDescent="0.3">
      <c r="A24" s="7" t="s">
        <v>12</v>
      </c>
      <c r="B24" s="8">
        <v>2</v>
      </c>
      <c r="C24" s="9" t="s">
        <v>84</v>
      </c>
    </row>
    <row r="25" spans="1:4" x14ac:dyDescent="0.3">
      <c r="A25" s="7" t="s">
        <v>31</v>
      </c>
      <c r="B25" s="8">
        <v>1</v>
      </c>
      <c r="C25" s="9" t="s">
        <v>84</v>
      </c>
    </row>
    <row r="26" spans="1:4" x14ac:dyDescent="0.3">
      <c r="A26" s="7" t="s">
        <v>38</v>
      </c>
      <c r="B26" s="8">
        <v>1</v>
      </c>
      <c r="C26" s="9" t="s">
        <v>84</v>
      </c>
    </row>
    <row r="27" spans="1:4" x14ac:dyDescent="0.3">
      <c r="A27" s="7" t="s">
        <v>15</v>
      </c>
      <c r="B27" s="8">
        <v>1</v>
      </c>
      <c r="C27" s="9" t="s">
        <v>84</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topLeftCell="A11" workbookViewId="0">
      <selection activeCell="D12" sqref="D12"/>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41" t="s">
        <v>0</v>
      </c>
      <c r="B1" s="42"/>
      <c r="C1" s="42"/>
      <c r="D1" s="42"/>
      <c r="E1" s="42"/>
      <c r="F1" s="42"/>
      <c r="G1" s="42"/>
      <c r="H1" s="42"/>
    </row>
    <row r="2" spans="1:8" ht="30" customHeight="1" x14ac:dyDescent="0.3">
      <c r="A2" s="44" t="s">
        <v>1</v>
      </c>
      <c r="B2" s="42"/>
      <c r="C2" s="42"/>
      <c r="D2" s="42"/>
      <c r="E2" s="42"/>
      <c r="F2" s="42"/>
      <c r="G2" s="42"/>
      <c r="H2" s="42"/>
    </row>
    <row r="3" spans="1:8" ht="40.049999999999997" customHeight="1" x14ac:dyDescent="0.3">
      <c r="A3" s="6" t="s">
        <v>2</v>
      </c>
      <c r="B3" s="6" t="s">
        <v>3</v>
      </c>
      <c r="C3" s="6" t="s">
        <v>4</v>
      </c>
      <c r="D3" s="6" t="s">
        <v>5</v>
      </c>
      <c r="E3" s="6" t="s">
        <v>6</v>
      </c>
      <c r="F3" s="6" t="s">
        <v>7</v>
      </c>
      <c r="G3" s="6" t="s">
        <v>8</v>
      </c>
      <c r="H3" s="6" t="s">
        <v>9</v>
      </c>
    </row>
    <row r="4" spans="1:8" ht="109.95" customHeight="1" x14ac:dyDescent="0.3">
      <c r="A4" s="37" t="s">
        <v>10</v>
      </c>
      <c r="B4" s="20" t="s">
        <v>11</v>
      </c>
      <c r="C4" s="21" t="s">
        <v>12</v>
      </c>
      <c r="D4" s="22" t="s">
        <v>19</v>
      </c>
      <c r="E4" s="22" t="s">
        <v>20</v>
      </c>
      <c r="F4" s="22" t="s">
        <v>21</v>
      </c>
      <c r="G4" s="22" t="s">
        <v>22</v>
      </c>
      <c r="H4" s="40" t="s">
        <v>23</v>
      </c>
    </row>
    <row r="5" spans="1:8" ht="109.95" customHeight="1" x14ac:dyDescent="0.3">
      <c r="A5" s="37" t="s">
        <v>13</v>
      </c>
      <c r="B5" s="23" t="s">
        <v>14</v>
      </c>
      <c r="C5" s="24" t="s">
        <v>15</v>
      </c>
      <c r="D5" s="25" t="s">
        <v>25</v>
      </c>
      <c r="E5" s="25" t="s">
        <v>26</v>
      </c>
      <c r="F5" s="25" t="s">
        <v>27</v>
      </c>
      <c r="G5" s="25" t="s">
        <v>28</v>
      </c>
      <c r="H5" s="25" t="s">
        <v>29</v>
      </c>
    </row>
    <row r="6" spans="1:8" ht="109.95" customHeight="1" x14ac:dyDescent="0.3">
      <c r="A6" s="37" t="s">
        <v>16</v>
      </c>
      <c r="B6" s="23" t="s">
        <v>14</v>
      </c>
      <c r="C6" s="26" t="s">
        <v>31</v>
      </c>
      <c r="D6" s="27" t="s">
        <v>32</v>
      </c>
      <c r="E6" s="27" t="s">
        <v>33</v>
      </c>
      <c r="F6" s="27" t="s">
        <v>34</v>
      </c>
      <c r="G6" s="27" t="s">
        <v>35</v>
      </c>
      <c r="H6" s="27" t="s">
        <v>36</v>
      </c>
    </row>
    <row r="7" spans="1:8" ht="151.80000000000001" customHeight="1" x14ac:dyDescent="0.3">
      <c r="A7" s="37" t="s">
        <v>18</v>
      </c>
      <c r="B7" s="28" t="s">
        <v>17</v>
      </c>
      <c r="C7" s="21" t="s">
        <v>38</v>
      </c>
      <c r="D7" s="22" t="s">
        <v>39</v>
      </c>
      <c r="E7" s="22" t="s">
        <v>40</v>
      </c>
      <c r="F7" s="22" t="s">
        <v>41</v>
      </c>
      <c r="G7" s="22" t="s">
        <v>42</v>
      </c>
      <c r="H7" s="22" t="s">
        <v>43</v>
      </c>
    </row>
    <row r="8" spans="1:8" ht="130.19999999999999" customHeight="1" x14ac:dyDescent="0.3">
      <c r="A8" s="37" t="s">
        <v>24</v>
      </c>
      <c r="B8" s="23" t="s">
        <v>14</v>
      </c>
      <c r="C8" s="21" t="s">
        <v>15</v>
      </c>
      <c r="D8" s="22" t="s">
        <v>192</v>
      </c>
      <c r="E8" s="22" t="s">
        <v>193</v>
      </c>
      <c r="F8" s="22" t="s">
        <v>194</v>
      </c>
      <c r="G8" s="22" t="s">
        <v>195</v>
      </c>
      <c r="H8" s="22" t="s">
        <v>196</v>
      </c>
    </row>
    <row r="9" spans="1:8" ht="249" customHeight="1" x14ac:dyDescent="0.3">
      <c r="A9" s="37" t="s">
        <v>30</v>
      </c>
      <c r="B9" s="20" t="s">
        <v>11</v>
      </c>
      <c r="C9" s="24" t="s">
        <v>12</v>
      </c>
      <c r="D9" s="25" t="s">
        <v>197</v>
      </c>
      <c r="E9" s="25" t="s">
        <v>198</v>
      </c>
      <c r="F9" s="25" t="s">
        <v>199</v>
      </c>
      <c r="G9" s="25" t="s">
        <v>200</v>
      </c>
      <c r="H9" s="25" t="s">
        <v>201</v>
      </c>
    </row>
    <row r="10" spans="1:8" ht="205.2" customHeight="1" x14ac:dyDescent="0.3">
      <c r="A10" s="37" t="s">
        <v>37</v>
      </c>
      <c r="B10" s="28" t="s">
        <v>17</v>
      </c>
      <c r="C10" s="26" t="s">
        <v>31</v>
      </c>
      <c r="D10" s="27" t="s">
        <v>202</v>
      </c>
      <c r="E10" s="27" t="s">
        <v>203</v>
      </c>
      <c r="F10" s="27" t="s">
        <v>204</v>
      </c>
      <c r="G10" s="27" t="s">
        <v>205</v>
      </c>
      <c r="H10" s="27" t="s">
        <v>206</v>
      </c>
    </row>
    <row r="11" spans="1:8" ht="230.4" customHeight="1" x14ac:dyDescent="0.3">
      <c r="A11" s="37" t="s">
        <v>212</v>
      </c>
      <c r="B11" s="23" t="s">
        <v>14</v>
      </c>
      <c r="C11" s="21" t="s">
        <v>38</v>
      </c>
      <c r="D11" s="22" t="s">
        <v>207</v>
      </c>
      <c r="E11" s="22" t="s">
        <v>208</v>
      </c>
      <c r="F11" s="22" t="s">
        <v>209</v>
      </c>
      <c r="G11" s="22" t="s">
        <v>210</v>
      </c>
      <c r="H11" s="22" t="s">
        <v>211</v>
      </c>
    </row>
    <row r="12" spans="1:8" ht="79.95" customHeight="1" x14ac:dyDescent="0.3">
      <c r="A12" s="7"/>
      <c r="B12" s="7"/>
      <c r="C12" s="7"/>
      <c r="D12" s="7"/>
      <c r="E12" s="7"/>
      <c r="F12" s="7"/>
      <c r="G12" s="7"/>
      <c r="H12" s="7"/>
    </row>
    <row r="13" spans="1:8" ht="79.95" customHeight="1" x14ac:dyDescent="0.3">
      <c r="A13" s="7"/>
      <c r="B13" s="7"/>
      <c r="C13" s="7"/>
      <c r="D13" s="7"/>
      <c r="E13" s="7"/>
      <c r="F13" s="7"/>
      <c r="G13" s="7"/>
      <c r="H13" s="7"/>
    </row>
    <row r="14" spans="1:8" ht="79.95" customHeight="1" x14ac:dyDescent="0.3">
      <c r="A14" s="7"/>
      <c r="B14" s="7"/>
      <c r="C14" s="7"/>
      <c r="D14" s="7"/>
      <c r="E14" s="7"/>
      <c r="F14" s="7"/>
      <c r="G14" s="7"/>
      <c r="H14" s="7"/>
    </row>
    <row r="15" spans="1:8" ht="79.95" customHeight="1" x14ac:dyDescent="0.3">
      <c r="A15" s="7"/>
      <c r="B15" s="7"/>
      <c r="C15" s="7"/>
      <c r="D15" s="7"/>
      <c r="E15" s="7"/>
      <c r="F15" s="7"/>
      <c r="G15" s="7"/>
      <c r="H15" s="7"/>
    </row>
    <row r="16" spans="1:8" ht="79.95" customHeight="1" x14ac:dyDescent="0.3">
      <c r="A16" s="7"/>
      <c r="B16" s="7"/>
      <c r="C16" s="7"/>
      <c r="D16" s="7"/>
      <c r="E16" s="7"/>
      <c r="F16" s="7"/>
      <c r="G16" s="7"/>
      <c r="H16" s="7"/>
    </row>
    <row r="17" spans="1:8" ht="79.95" customHeight="1" x14ac:dyDescent="0.3">
      <c r="A17" s="7"/>
      <c r="B17" s="7"/>
      <c r="C17" s="7"/>
      <c r="D17" s="7"/>
      <c r="E17" s="7"/>
      <c r="F17" s="7"/>
      <c r="G17" s="7"/>
      <c r="H17" s="7"/>
    </row>
    <row r="18" spans="1:8" ht="79.95" customHeight="1" x14ac:dyDescent="0.3">
      <c r="A18" s="7"/>
      <c r="B18" s="7"/>
      <c r="C18" s="7"/>
      <c r="D18" s="7"/>
      <c r="E18" s="7"/>
      <c r="F18" s="7"/>
      <c r="G18" s="7"/>
      <c r="H18" s="7"/>
    </row>
    <row r="19" spans="1:8" ht="79.95" customHeight="1" x14ac:dyDescent="0.3">
      <c r="A19" s="7"/>
      <c r="B19" s="7"/>
      <c r="C19" s="7"/>
      <c r="D19" s="7"/>
      <c r="E19" s="7"/>
      <c r="F19" s="7"/>
      <c r="G19" s="7"/>
      <c r="H19" s="7"/>
    </row>
    <row r="20" spans="1:8" ht="79.95" customHeight="1" x14ac:dyDescent="0.3">
      <c r="A20" s="7"/>
      <c r="B20" s="7"/>
      <c r="C20" s="7"/>
      <c r="D20" s="7"/>
      <c r="E20" s="7"/>
      <c r="F20" s="7"/>
      <c r="G20" s="7"/>
      <c r="H20" s="7"/>
    </row>
    <row r="21" spans="1:8" ht="79.95" customHeight="1" x14ac:dyDescent="0.3">
      <c r="A21" s="7"/>
      <c r="B21" s="7"/>
      <c r="C21" s="7"/>
      <c r="D21" s="7"/>
      <c r="E21" s="7"/>
      <c r="F21" s="7"/>
      <c r="G21" s="7"/>
      <c r="H21" s="7"/>
    </row>
    <row r="22" spans="1:8" ht="79.95" customHeight="1" x14ac:dyDescent="0.3">
      <c r="A22" s="7"/>
      <c r="B22" s="7"/>
      <c r="C22" s="7"/>
      <c r="D22" s="7"/>
      <c r="E22" s="7"/>
      <c r="F22" s="7"/>
      <c r="G22" s="7"/>
      <c r="H22" s="7"/>
    </row>
    <row r="23" spans="1:8" ht="79.95" customHeight="1" x14ac:dyDescent="0.3">
      <c r="A23" s="7"/>
      <c r="B23" s="7"/>
      <c r="C23" s="7"/>
      <c r="D23" s="7"/>
      <c r="E23" s="7"/>
      <c r="F23" s="7"/>
      <c r="G23" s="7"/>
      <c r="H23"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topLeftCell="A6" workbookViewId="0">
      <selection activeCell="B9" sqref="B9"/>
    </sheetView>
  </sheetViews>
  <sheetFormatPr defaultRowHeight="14.4" x14ac:dyDescent="0.3"/>
  <cols>
    <col min="1" max="1" width="12" customWidth="1"/>
    <col min="2" max="2" width="22" style="39" customWidth="1"/>
    <col min="3" max="6" width="30" customWidth="1"/>
  </cols>
  <sheetData>
    <row r="1" spans="1:6" x14ac:dyDescent="0.3">
      <c r="A1" s="46" t="s">
        <v>85</v>
      </c>
      <c r="B1" s="47"/>
      <c r="C1" s="47"/>
      <c r="D1" s="47"/>
      <c r="E1" s="47"/>
      <c r="F1" s="47"/>
    </row>
    <row r="2" spans="1:6" x14ac:dyDescent="0.3">
      <c r="A2" s="45" t="s">
        <v>86</v>
      </c>
      <c r="B2" s="47"/>
      <c r="C2" s="47"/>
      <c r="D2" s="47"/>
      <c r="E2" s="47"/>
      <c r="F2" s="47"/>
    </row>
    <row r="3" spans="1:6" ht="40.049999999999997" customHeight="1" x14ac:dyDescent="0.3">
      <c r="A3" s="6" t="s">
        <v>87</v>
      </c>
      <c r="B3" s="6" t="s">
        <v>88</v>
      </c>
      <c r="C3" s="6" t="s">
        <v>89</v>
      </c>
      <c r="D3" s="6" t="s">
        <v>90</v>
      </c>
      <c r="E3" s="6" t="s">
        <v>91</v>
      </c>
      <c r="F3" s="6" t="s">
        <v>92</v>
      </c>
    </row>
    <row r="4" spans="1:6" ht="75" customHeight="1" x14ac:dyDescent="0.3">
      <c r="A4" s="35" t="s">
        <v>13</v>
      </c>
      <c r="B4" s="26" t="s">
        <v>94</v>
      </c>
      <c r="C4" s="48" t="s">
        <v>95</v>
      </c>
      <c r="D4" s="48" t="s">
        <v>96</v>
      </c>
      <c r="E4" s="48" t="s">
        <v>97</v>
      </c>
      <c r="F4" s="48" t="s">
        <v>98</v>
      </c>
    </row>
    <row r="5" spans="1:6" ht="75" customHeight="1" x14ac:dyDescent="0.3">
      <c r="A5" s="36" t="s">
        <v>16</v>
      </c>
      <c r="B5" s="38" t="s">
        <v>99</v>
      </c>
      <c r="C5" s="49" t="s">
        <v>100</v>
      </c>
      <c r="D5" s="49" t="s">
        <v>101</v>
      </c>
      <c r="E5" s="49" t="s">
        <v>102</v>
      </c>
      <c r="F5" s="49" t="s">
        <v>103</v>
      </c>
    </row>
    <row r="6" spans="1:6" ht="75" customHeight="1" x14ac:dyDescent="0.3">
      <c r="A6" s="35" t="s">
        <v>18</v>
      </c>
      <c r="B6" s="26" t="s">
        <v>94</v>
      </c>
      <c r="C6" s="48" t="s">
        <v>104</v>
      </c>
      <c r="D6" s="48" t="s">
        <v>105</v>
      </c>
      <c r="E6" s="48" t="s">
        <v>106</v>
      </c>
      <c r="F6" s="48" t="s">
        <v>107</v>
      </c>
    </row>
    <row r="7" spans="1:6" ht="99" customHeight="1" x14ac:dyDescent="0.3">
      <c r="A7" s="35" t="s">
        <v>24</v>
      </c>
      <c r="B7" s="26" t="s">
        <v>94</v>
      </c>
      <c r="C7" s="48" t="s">
        <v>213</v>
      </c>
      <c r="D7" s="48" t="s">
        <v>214</v>
      </c>
      <c r="E7" s="48" t="s">
        <v>215</v>
      </c>
      <c r="F7" s="48" t="s">
        <v>216</v>
      </c>
    </row>
    <row r="8" spans="1:6" ht="148.19999999999999" customHeight="1" x14ac:dyDescent="0.3">
      <c r="A8" s="36" t="s">
        <v>37</v>
      </c>
      <c r="B8" s="38" t="s">
        <v>99</v>
      </c>
      <c r="C8" s="49" t="s">
        <v>217</v>
      </c>
      <c r="D8" s="49" t="s">
        <v>218</v>
      </c>
      <c r="E8" s="49" t="s">
        <v>219</v>
      </c>
      <c r="F8" s="49" t="s">
        <v>220</v>
      </c>
    </row>
    <row r="9" spans="1:6" ht="60" customHeight="1" x14ac:dyDescent="0.3">
      <c r="A9" s="9"/>
      <c r="B9" s="9"/>
      <c r="C9" s="9"/>
      <c r="D9" s="9"/>
      <c r="E9" s="9"/>
      <c r="F9" s="9"/>
    </row>
    <row r="10" spans="1:6" ht="60" customHeight="1" x14ac:dyDescent="0.3">
      <c r="A10" s="7"/>
      <c r="B10" s="9"/>
      <c r="C10" s="7"/>
      <c r="D10" s="7"/>
      <c r="E10" s="7"/>
      <c r="F10" s="7"/>
    </row>
    <row r="11" spans="1:6" ht="60" customHeight="1" x14ac:dyDescent="0.3">
      <c r="A11" s="7"/>
      <c r="B11" s="9"/>
      <c r="C11" s="7"/>
      <c r="D11" s="7"/>
      <c r="E11" s="7"/>
      <c r="F11" s="7"/>
    </row>
    <row r="12" spans="1:6" ht="60" customHeight="1" x14ac:dyDescent="0.3">
      <c r="A12" s="7"/>
      <c r="B12" s="9"/>
      <c r="C12" s="7"/>
      <c r="D12" s="7"/>
      <c r="E12" s="7"/>
      <c r="F12" s="7"/>
    </row>
    <row r="13" spans="1:6" ht="60" customHeight="1" x14ac:dyDescent="0.3">
      <c r="A13" s="7"/>
      <c r="B13" s="9"/>
      <c r="C13" s="7"/>
      <c r="D13" s="7"/>
      <c r="E13" s="7"/>
      <c r="F13" s="7"/>
    </row>
    <row r="14" spans="1:6" ht="60" customHeight="1" x14ac:dyDescent="0.3">
      <c r="A14" s="7"/>
      <c r="B14" s="9"/>
      <c r="C14" s="7"/>
      <c r="D14" s="7"/>
      <c r="E14" s="7"/>
      <c r="F14" s="7"/>
    </row>
    <row r="15" spans="1:6" ht="60" customHeight="1" x14ac:dyDescent="0.3">
      <c r="A15" s="7"/>
      <c r="B15" s="9"/>
      <c r="C15" s="7"/>
      <c r="D15" s="7"/>
      <c r="E15" s="7"/>
      <c r="F15" s="7"/>
    </row>
    <row r="16" spans="1:6" ht="60" customHeight="1" x14ac:dyDescent="0.3">
      <c r="A16" s="7"/>
      <c r="B16" s="9"/>
      <c r="C16" s="7"/>
      <c r="D16" s="7"/>
      <c r="E16" s="7"/>
      <c r="F16" s="7"/>
    </row>
    <row r="17" spans="1:6" ht="60" customHeight="1" x14ac:dyDescent="0.3">
      <c r="A17" s="7"/>
      <c r="B17" s="9"/>
      <c r="C17" s="7"/>
      <c r="D17" s="7"/>
      <c r="E17" s="7"/>
      <c r="F17" s="7"/>
    </row>
    <row r="18" spans="1:6" ht="60" customHeight="1" x14ac:dyDescent="0.3">
      <c r="A18" s="7"/>
      <c r="B18" s="9"/>
      <c r="C18" s="7"/>
      <c r="D18" s="7"/>
      <c r="E18" s="7"/>
      <c r="F18" s="7"/>
    </row>
    <row r="19" spans="1:6" ht="60" customHeight="1" x14ac:dyDescent="0.3">
      <c r="A19" s="7"/>
      <c r="B19" s="9"/>
      <c r="C19" s="7"/>
      <c r="D19" s="7"/>
      <c r="E19" s="7"/>
      <c r="F19" s="7"/>
    </row>
    <row r="20" spans="1:6" ht="60" customHeight="1" x14ac:dyDescent="0.3">
      <c r="A20" s="7"/>
      <c r="B20" s="9"/>
      <c r="C20" s="7"/>
      <c r="D20" s="7"/>
      <c r="E20" s="7"/>
      <c r="F20" s="7"/>
    </row>
    <row r="21" spans="1:6" ht="60" customHeight="1" x14ac:dyDescent="0.3">
      <c r="A21" s="7"/>
      <c r="B21" s="9"/>
      <c r="C21" s="7"/>
      <c r="D21" s="7"/>
      <c r="E21" s="7"/>
      <c r="F21" s="7"/>
    </row>
    <row r="22" spans="1:6" ht="60" customHeight="1" x14ac:dyDescent="0.3">
      <c r="A22" s="7"/>
      <c r="B22" s="9"/>
      <c r="C22" s="7"/>
      <c r="D22" s="7"/>
      <c r="E22" s="7"/>
      <c r="F22" s="7"/>
    </row>
    <row r="23" spans="1:6" ht="60" customHeight="1" x14ac:dyDescent="0.3">
      <c r="A23" s="7"/>
      <c r="B23" s="9"/>
      <c r="C23" s="7"/>
      <c r="D23" s="7"/>
      <c r="E23" s="7"/>
      <c r="F23" s="7"/>
    </row>
    <row r="24" spans="1:6" x14ac:dyDescent="0.3">
      <c r="A24" s="7"/>
      <c r="B24" s="9"/>
      <c r="C24" s="7"/>
      <c r="D24" s="7"/>
      <c r="E24" s="7"/>
      <c r="F24" s="7"/>
    </row>
    <row r="25" spans="1:6" x14ac:dyDescent="0.3">
      <c r="A25" s="7"/>
      <c r="B25" s="9"/>
      <c r="C25" s="7"/>
      <c r="D25" s="7"/>
      <c r="E25" s="7"/>
      <c r="F25" s="7"/>
    </row>
    <row r="26" spans="1:6" x14ac:dyDescent="0.3">
      <c r="A26" s="7"/>
      <c r="B26" s="9"/>
      <c r="C26" s="7"/>
      <c r="D26" s="7"/>
      <c r="E26" s="7"/>
      <c r="F26" s="7"/>
    </row>
    <row r="29" spans="1:6" ht="18" customHeight="1" x14ac:dyDescent="0.3"/>
    <row r="31" spans="1:6" ht="28.8" customHeight="1" x14ac:dyDescent="0.3"/>
    <row r="32" spans="1:6" ht="28.8" customHeight="1" x14ac:dyDescent="0.35">
      <c r="A32" s="1" t="s">
        <v>108</v>
      </c>
    </row>
    <row r="33" spans="1:6" ht="28.8" customHeight="1" x14ac:dyDescent="0.3">
      <c r="A33" s="10" t="s">
        <v>109</v>
      </c>
      <c r="B33" s="17" t="s">
        <v>110</v>
      </c>
      <c r="C33" s="10" t="s">
        <v>111</v>
      </c>
    </row>
    <row r="34" spans="1:6" ht="28.8" customHeight="1" x14ac:dyDescent="0.3">
      <c r="A34" s="7" t="s">
        <v>93</v>
      </c>
      <c r="B34" s="9" t="s">
        <v>112</v>
      </c>
      <c r="C34" s="7" t="s">
        <v>113</v>
      </c>
    </row>
    <row r="35" spans="1:6" ht="43.2" customHeight="1" x14ac:dyDescent="0.3">
      <c r="A35" s="7" t="s">
        <v>99</v>
      </c>
      <c r="B35" s="9" t="s">
        <v>114</v>
      </c>
      <c r="C35" s="7" t="s">
        <v>115</v>
      </c>
    </row>
    <row r="36" spans="1:6" ht="79.95" customHeight="1" x14ac:dyDescent="0.3">
      <c r="A36" s="7" t="s">
        <v>94</v>
      </c>
      <c r="B36" s="9" t="s">
        <v>116</v>
      </c>
      <c r="C36" s="7" t="s">
        <v>117</v>
      </c>
    </row>
    <row r="37" spans="1:6" ht="79.95" customHeight="1" x14ac:dyDescent="0.3">
      <c r="A37" s="7" t="s">
        <v>118</v>
      </c>
      <c r="B37" s="9" t="s">
        <v>119</v>
      </c>
      <c r="C37" s="7" t="s">
        <v>120</v>
      </c>
    </row>
    <row r="38" spans="1:6" ht="79.95" customHeight="1" x14ac:dyDescent="0.3">
      <c r="A38" s="7" t="s">
        <v>121</v>
      </c>
      <c r="B38" s="9" t="s">
        <v>122</v>
      </c>
      <c r="C38" s="7" t="s">
        <v>123</v>
      </c>
    </row>
    <row r="39" spans="1:6" ht="45.6" x14ac:dyDescent="0.3">
      <c r="A39" s="29" t="s">
        <v>24</v>
      </c>
      <c r="B39" s="26" t="s">
        <v>94</v>
      </c>
      <c r="C39" s="27" t="s">
        <v>95</v>
      </c>
      <c r="D39" s="27" t="s">
        <v>124</v>
      </c>
      <c r="E39" s="27" t="s">
        <v>97</v>
      </c>
      <c r="F39" s="27" t="s">
        <v>98</v>
      </c>
    </row>
    <row r="40" spans="1:6" ht="57" x14ac:dyDescent="0.3">
      <c r="A40" s="30" t="s">
        <v>30</v>
      </c>
      <c r="B40" s="38" t="s">
        <v>99</v>
      </c>
      <c r="C40" s="31" t="s">
        <v>100</v>
      </c>
      <c r="D40" s="31" t="s">
        <v>125</v>
      </c>
      <c r="E40" s="31" t="s">
        <v>102</v>
      </c>
      <c r="F40" s="31" t="s">
        <v>103</v>
      </c>
    </row>
    <row r="41" spans="1:6" ht="57" x14ac:dyDescent="0.3">
      <c r="A41" s="29" t="s">
        <v>37</v>
      </c>
      <c r="B41" s="26" t="s">
        <v>94</v>
      </c>
      <c r="C41" s="27" t="s">
        <v>126</v>
      </c>
      <c r="D41" s="27" t="s">
        <v>127</v>
      </c>
      <c r="E41" s="27" t="s">
        <v>128</v>
      </c>
      <c r="F41" s="27" t="s">
        <v>129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6" workbookViewId="0">
      <selection activeCell="E9" sqref="E9"/>
    </sheetView>
  </sheetViews>
  <sheetFormatPr defaultRowHeight="14.4" x14ac:dyDescent="0.3"/>
  <cols>
    <col min="1" max="1" width="10" customWidth="1"/>
    <col min="2" max="4" width="42" customWidth="1"/>
  </cols>
  <sheetData>
    <row r="1" spans="1:4" x14ac:dyDescent="0.3">
      <c r="A1" s="41" t="s">
        <v>130</v>
      </c>
      <c r="B1" s="42"/>
      <c r="C1" s="42"/>
      <c r="D1" s="42"/>
    </row>
    <row r="2" spans="1:4" x14ac:dyDescent="0.3">
      <c r="A2" s="43" t="s">
        <v>131</v>
      </c>
      <c r="B2" s="42"/>
      <c r="C2" s="42"/>
      <c r="D2" s="42"/>
    </row>
    <row r="4" spans="1:4" ht="18" customHeight="1" x14ac:dyDescent="0.35">
      <c r="A4" s="1" t="s">
        <v>132</v>
      </c>
    </row>
    <row r="5" spans="1:4" x14ac:dyDescent="0.3">
      <c r="A5" s="6" t="s">
        <v>133</v>
      </c>
      <c r="B5" s="11" t="s">
        <v>134</v>
      </c>
      <c r="C5" s="6" t="s">
        <v>135</v>
      </c>
      <c r="D5" s="11" t="s">
        <v>136</v>
      </c>
    </row>
    <row r="6" spans="1:4" ht="34.200000000000003" x14ac:dyDescent="0.3">
      <c r="A6" s="12" t="s">
        <v>137</v>
      </c>
      <c r="B6" s="13" t="s">
        <v>138</v>
      </c>
      <c r="C6" s="32" t="s">
        <v>139</v>
      </c>
      <c r="D6" s="33" t="s">
        <v>188</v>
      </c>
    </row>
    <row r="7" spans="1:4" ht="27.6" x14ac:dyDescent="0.3">
      <c r="A7" s="12" t="s">
        <v>140</v>
      </c>
      <c r="B7" s="13" t="s">
        <v>141</v>
      </c>
      <c r="C7" s="32" t="s">
        <v>139</v>
      </c>
      <c r="D7" s="33" t="s">
        <v>189</v>
      </c>
    </row>
    <row r="8" spans="1:4" ht="34.200000000000003" x14ac:dyDescent="0.3">
      <c r="A8" s="12" t="s">
        <v>142</v>
      </c>
      <c r="B8" s="13" t="s">
        <v>143</v>
      </c>
      <c r="C8" s="32" t="s">
        <v>139</v>
      </c>
      <c r="D8" s="33" t="s">
        <v>144</v>
      </c>
    </row>
    <row r="9" spans="1:4" ht="45.6" x14ac:dyDescent="0.3">
      <c r="A9" s="12" t="s">
        <v>145</v>
      </c>
      <c r="B9" s="13" t="s">
        <v>146</v>
      </c>
      <c r="C9" s="32" t="s">
        <v>139</v>
      </c>
      <c r="D9" s="33" t="s">
        <v>221</v>
      </c>
    </row>
    <row r="10" spans="1:4" ht="45.6" x14ac:dyDescent="0.3">
      <c r="A10" s="12" t="s">
        <v>147</v>
      </c>
      <c r="B10" s="13" t="s">
        <v>148</v>
      </c>
      <c r="C10" s="32" t="s">
        <v>139</v>
      </c>
      <c r="D10" s="33" t="s">
        <v>222</v>
      </c>
    </row>
    <row r="12" spans="1:4" ht="18" customHeight="1" x14ac:dyDescent="0.35">
      <c r="A12" s="1" t="s">
        <v>149</v>
      </c>
    </row>
    <row r="13" spans="1:4" x14ac:dyDescent="0.3">
      <c r="A13" s="6" t="s">
        <v>133</v>
      </c>
      <c r="B13" s="11" t="s">
        <v>134</v>
      </c>
      <c r="C13" s="6" t="s">
        <v>135</v>
      </c>
      <c r="D13" s="11" t="s">
        <v>150</v>
      </c>
    </row>
    <row r="14" spans="1:4" ht="22.8" x14ac:dyDescent="0.3">
      <c r="A14" s="12" t="s">
        <v>137</v>
      </c>
      <c r="B14" s="13" t="s">
        <v>151</v>
      </c>
      <c r="C14" s="32" t="s">
        <v>139</v>
      </c>
      <c r="D14" s="33" t="s">
        <v>190</v>
      </c>
    </row>
    <row r="15" spans="1:4" ht="22.8" x14ac:dyDescent="0.3">
      <c r="A15" s="12" t="s">
        <v>140</v>
      </c>
      <c r="B15" s="13" t="s">
        <v>152</v>
      </c>
      <c r="C15" s="32" t="s">
        <v>139</v>
      </c>
      <c r="D15" s="33" t="s">
        <v>191</v>
      </c>
    </row>
    <row r="16" spans="1:4" ht="22.8" x14ac:dyDescent="0.3">
      <c r="A16" s="12" t="s">
        <v>142</v>
      </c>
      <c r="B16" s="13" t="s">
        <v>153</v>
      </c>
      <c r="C16" s="32" t="s">
        <v>139</v>
      </c>
      <c r="D16" s="33" t="s">
        <v>154</v>
      </c>
    </row>
    <row r="17" spans="1:4" ht="22.8" x14ac:dyDescent="0.3">
      <c r="A17" s="12" t="s">
        <v>145</v>
      </c>
      <c r="B17" s="13" t="s">
        <v>155</v>
      </c>
      <c r="C17" s="32" t="s">
        <v>139</v>
      </c>
      <c r="D17" s="33" t="s">
        <v>156</v>
      </c>
    </row>
    <row r="18" spans="1:4" ht="22.8" x14ac:dyDescent="0.3">
      <c r="A18" s="12" t="s">
        <v>147</v>
      </c>
      <c r="B18" s="13" t="s">
        <v>157</v>
      </c>
      <c r="C18" s="32" t="s">
        <v>139</v>
      </c>
      <c r="D18" s="33" t="s">
        <v>158</v>
      </c>
    </row>
    <row r="20" spans="1:4" ht="15.6" customHeight="1" x14ac:dyDescent="0.3">
      <c r="A20" s="14" t="s">
        <v>159</v>
      </c>
    </row>
    <row r="21" spans="1:4" x14ac:dyDescent="0.3">
      <c r="A21" s="15" t="s">
        <v>160</v>
      </c>
    </row>
    <row r="22" spans="1:4" x14ac:dyDescent="0.3">
      <c r="A22" s="15" t="s">
        <v>161</v>
      </c>
    </row>
    <row r="25" spans="1:4" ht="18" customHeight="1" x14ac:dyDescent="0.35">
      <c r="A25" s="1" t="s">
        <v>162</v>
      </c>
    </row>
    <row r="26" spans="1:4" x14ac:dyDescent="0.3">
      <c r="A26" s="16" t="s">
        <v>163</v>
      </c>
    </row>
    <row r="27" spans="1:4" ht="43.2" customHeight="1" x14ac:dyDescent="0.3">
      <c r="A27" s="17" t="s">
        <v>2</v>
      </c>
      <c r="B27" s="10" t="s">
        <v>164</v>
      </c>
      <c r="C27" s="10" t="s">
        <v>165</v>
      </c>
      <c r="D27" s="10" t="s">
        <v>166</v>
      </c>
    </row>
    <row r="28" spans="1:4" ht="45" customHeight="1" x14ac:dyDescent="0.3">
      <c r="A28" s="19" t="s">
        <v>10</v>
      </c>
      <c r="B28" s="34" t="s">
        <v>167</v>
      </c>
      <c r="C28" s="34" t="s">
        <v>168</v>
      </c>
      <c r="D28" s="33" t="s">
        <v>186</v>
      </c>
    </row>
    <row r="29" spans="1:4" ht="45" customHeight="1" x14ac:dyDescent="0.3">
      <c r="A29" s="19" t="s">
        <v>13</v>
      </c>
      <c r="B29" s="34" t="s">
        <v>169</v>
      </c>
      <c r="C29" s="34" t="s">
        <v>170</v>
      </c>
      <c r="D29" s="33" t="s">
        <v>171</v>
      </c>
    </row>
    <row r="30" spans="1:4" ht="45" customHeight="1" x14ac:dyDescent="0.3">
      <c r="A30" s="19" t="s">
        <v>16</v>
      </c>
      <c r="B30" s="34" t="s">
        <v>172</v>
      </c>
      <c r="C30" s="34" t="s">
        <v>173</v>
      </c>
      <c r="D30" s="33" t="s">
        <v>186</v>
      </c>
    </row>
    <row r="31" spans="1:4" ht="45" customHeight="1" x14ac:dyDescent="0.3">
      <c r="A31" s="19" t="s">
        <v>18</v>
      </c>
      <c r="B31" s="34" t="s">
        <v>174</v>
      </c>
      <c r="C31" s="34" t="s">
        <v>175</v>
      </c>
      <c r="D31" s="33" t="s">
        <v>176</v>
      </c>
    </row>
    <row r="32" spans="1:4" ht="45" customHeight="1" x14ac:dyDescent="0.3">
      <c r="A32" s="19" t="s">
        <v>24</v>
      </c>
      <c r="B32" s="34" t="s">
        <v>177</v>
      </c>
      <c r="C32" s="34" t="s">
        <v>178</v>
      </c>
      <c r="D32" s="33" t="s">
        <v>179</v>
      </c>
    </row>
    <row r="33" spans="1:4" ht="45" customHeight="1" x14ac:dyDescent="0.3">
      <c r="A33" s="19" t="s">
        <v>30</v>
      </c>
      <c r="B33" s="34" t="s">
        <v>180</v>
      </c>
      <c r="C33" s="34" t="s">
        <v>181</v>
      </c>
      <c r="D33" s="33" t="s">
        <v>182</v>
      </c>
    </row>
    <row r="34" spans="1:4" ht="45" customHeight="1" x14ac:dyDescent="0.3">
      <c r="A34" s="19" t="s">
        <v>37</v>
      </c>
      <c r="B34" s="34" t="s">
        <v>183</v>
      </c>
      <c r="C34" s="34" t="s">
        <v>184</v>
      </c>
      <c r="D34" s="33" t="s">
        <v>185</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Ngiieen nee</cp:lastModifiedBy>
  <dcterms:created xsi:type="dcterms:W3CDTF">2026-05-07T22:28:42Z</dcterms:created>
  <dcterms:modified xsi:type="dcterms:W3CDTF">2026-06-19T07:29:56Z</dcterms:modified>
</cp:coreProperties>
</file>