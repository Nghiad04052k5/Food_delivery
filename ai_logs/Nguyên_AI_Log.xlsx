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084692-344D-41A6-B75D-B9D0145DEA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<sst xmlns="http://schemas.openxmlformats.org/spreadsheetml/2006/main" count="253" uniqueCount="198">
  <si>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</si>
  <si>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</si>
  <si>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</si>
  <si>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</si>
  <si>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</si>
  <si>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</si>
  <si>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</si>
  <si>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</si>
  <si>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</si>
  <si>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</si>
  <si>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</si>
  <si>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</si>
  <si>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Decomposition</t>
  </si>
  <si>
    <t>002</t>
  </si>
  <si>
    <t>PROBLEM-SOLVING</t>
  </si>
  <si>
    <t>Algorithms</t>
  </si>
  <si>
    <t>003</t>
  </si>
  <si>
    <t>VERIFICATION</t>
  </si>
  <si>
    <t>004</t>
  </si>
  <si>
    <t>Cần xác định cấu trúc dữ liệu &amp; schema cho hệ thống Food Delivery có 8 entities theo yêu cầu đề bài</t>
  </si>
  <si>
    <t>Tạo bộ dữ liệu để add vào database SQL: dựa trên mô tả dự án Food Delivery Network Simulation, xác định các entities và yêu cầu số dòng dữ liệu (18.000+ dòng)</t>
  </si>
  <si>
    <t>AI đề xuất 8 entities: Customer, Restaurant, MenuItem, Driver, Order, OrderItem, DeliveryRoute, SimulationRun. Cung cấp SQL Schema (DDL) cho MySQL/PostgreSQL với kiểu DOUBLE và script Python tạo dữ liệu ngẫu nhiên.</t>
  </si>
  <si>
    <t>Critical Thinking: AI dùng kiểu DOUBLE và VARCHAR không tương thích SQL Server — chạy ra lỗi Msg 102 ngay lập tức. Contextualization: Project dùng SQL Server (SSMS), cần FLOAT và NVARCHAR thay vì DOUBLE và VARCHAR. Creative Synthesis: Tôi test lỗi, xác định nguyên nhân, yêu cầu AI sửa lại đúng T-SQL syntax với CONSTRAINT FK đặt tên rõ ràng. Decision: Giữ lại cấu trúc 8 entity của AI nhưng rewrite toàn bộ DDL theo chuẩn SQL Server.</t>
  </si>
  <si>
    <t>Screenshot lỗi Msg 102/4864 từ SSMS + SQL schema đã sửa</t>
  </si>
  <si>
    <t>005</t>
  </si>
  <si>
    <t>Data generator sinh customers.csv với 2000 dòng nhưng tất cả dùng chung 1 mật khẩu băm SHA-256 — không realistic và thiếu tính bảo mật cá nhân</t>
  </si>
  <si>
    <t>Trong phần mật khẩu, mỗi customer có mật khẩu riêng, được mã hóa khác nhau, nhưng trong code đang dùng chung 1 mật khẩu mã hóa</t>
  </si>
  <si>
    <t>AI xác nhận lỗi và giải thích: đây là lỗi tối ưu hóa sai (pre-hash để tiết kiệm CPU). Đề xuất tạo raw password riêng cho từng user: 'CustomerPassI!' rồi hash SHA-256 bên trong vòng lặp để mỗi dòng ra chuỗi hash khác nhau.</t>
  </si>
  <si>
    <t>Critical Thinking: AI thừa nhận đây là lỗi thiết kế, không phải bug syntax — hash cùng input thì cùng output, nên 2000 dòng ra 1 chuỗi giống nhau là hiển nhiên. Contextualization: Yêu cầu bảo mật thực tế là mỗi user phải có credential độc lập để demo Optimistic Locking và authentication flow. Creative Synthesis: Áp dụng thêm salt-per-user concept: dùng ID làm salt tự nhiên ('CustomerPass1!', 'CustomerPass2!'...). Decision: Di chuyển hashPassword() vào bên trong for loop, bỏ variable pre-computed hash.</t>
  </si>
  <si>
    <t>Code diff: biến hashedPassword chuyển từ ngoài vào trong vòng lặp + kết quả CSV với 2000 chuỗi hash khác nhau</t>
  </si>
  <si>
    <t>006</t>
  </si>
  <si>
    <t>Pattern Recognition</t>
  </si>
  <si>
    <t>Sau khi BULK INSERT restaurants.csv vào SQL Server, cột rating bị lệch — dữ liệu district xuất hiện ở cột rating do địa chỉ chứa dấu phẩy trùng với field delimiter</t>
  </si>
  <si>
    <t>File restaurant bị lệch [kèm screenshot SSMS]</t>
  </si>
  <si>
    <t>AI xác định nguyên nhân: chuỗi 'Street, District 3' chứa dấu phẩy nội tại làm BULK INSERT hiểu nhầm thành field separator. Đề xuất 2 giải pháp: (1) bọc address trong dấu ngoặc kép \", (2) đổi toàn bộ file sang dấu chấm phẩy ';' làm delimiter.</t>
  </si>
  <si>
    <t>Critical Thinking: Giải pháp bọc ngoặc kép của AI không hoàn toàn đúng với BULK INSERT mặc định — SQL Server không tự parse FIELDQUOTE nếu không khai báo FORMAT='CSV'. Test thực tế vẫn ra lỗi Msg 4864. Contextualization: Hệ thống cần import mượt mà không cần cấu hình phức tạp. Creative Synthesis: Tôi áp dụng giải pháp sạch hơn: thay dấu phẩy trong chuỗi địa chỉ bằng dấu gạch ngang '-' ('Street - District 3') để loại bỏ ambiguity hoàn toàn mà không cần quote. Decision: Áp dụng dấu gạch ngang cho cả customers.csv và restaurants.csv để đồng bộ.</t>
  </si>
  <si>
    <t xml:space="preserve">Lỗi Msg 4864 SSMS screenshot + fix trong DataGenerator.generateRestaurants() dùng '- District' thay ',' </t>
  </si>
  <si>
    <t>007</t>
  </si>
  <si>
    <t>Abstraction</t>
  </si>
  <si>
    <t>Sau khi bulk insert toàn bộ 7 bảng, cần verify tính đồng nhất dữ liệu: check xem có xung đột FK, lệch tổng tiền, hoặc món ăn chéo nhà hàng không</t>
  </si>
  <si>
    <t>Kiểm tra xem các dữ liệu có đồng nhất chưa, có xung đột dữ liệu giữa các file không, nếu có hãy chỉ ra các lỗi dữ liệu đó</t>
  </si>
  <si>
    <t>AI cung cấp 4 SQL verification queries: (1) orphan orders không có customer/driver hợp lệ, (2) order_items chứa món không thuộc nhà hàng xử lý đơn, (3) total_price trong orders vs. tổng tính từ order_items, (4) driver AVAILABLE nhưng đang có đơn DELIVERING. Kết quả: Lỗi 2 và Lỗi 3 xuất hiện.</t>
  </si>
  <si>
    <t>Critical Thinking: AI đã phát hiện HALLUCINATION LOGIC trong chính code nó tạo ra — generateOrders() sinh total_price ngẫu nhiên (50k-400k) độc lập với generateOrderItems(), dẫn đến chênh lệch hàng triệu đồng. Contextualization: Đây là lỗi nghiêm trọng vì hệ thống mô phỏng dùng total_price để tính revenue analytics. Creative Synthesis: Refactor hoàn toàn logic: gộp generateOrders() + generateOrderItems() thành một hàm duy nhất generateOrdersAndItemsAndRoutes(), dùng Map&lt;Integer,List&lt;MenuItem&gt;&gt; phân nhóm món theo nhà hàng, cộng dồn computedTotalPrice thực tế. Decision: Rewrite data generator, chạy lại BULK INSERT, verify lại — cả 4 query đều trả về 0 rows.</t>
  </si>
  <si>
    <t>SQL verification query results (Lỗi 2 &amp; 3 có dữ liệu → sau fix trả về 0 rows) + code diff hàm generateOrdersAndItemsAndRoutes()</t>
  </si>
  <si>
    <t>AI AUDIT LOG - METADATA &amp; SUMMARY</t>
  </si>
  <si>
    <t>STUDENT INFORMATION</t>
  </si>
  <si>
    <t>Student Name:</t>
  </si>
  <si>
    <t>Trần Thanh Nguyên</t>
  </si>
  <si>
    <t>Student ID:</t>
  </si>
  <si>
    <t>QE200015</t>
  </si>
  <si>
    <t>Course:</t>
  </si>
  <si>
    <t>LAB211</t>
  </si>
  <si>
    <t>Assignment:</t>
  </si>
  <si>
    <t>Food Delivery Network Simulation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</si>
  <si>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</si>
  <si>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</si>
  <si>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</si>
  <si>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</si>
  <si>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</si>
  <si>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</si>
  <si>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</si>
  <si>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</si>
  <si>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</si>
  <si>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</si>
  <si>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</si>
  <si>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</si>
  <si>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</si>
  <si>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</si>
  <si>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</si>
  <si>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</si>
  <si>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</si>
  <si>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</si>
  <si>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</si>
  <si>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</si>
  <si>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</si>
  <si>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</si>
  <si>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Gemini</t>
  </si>
  <si>
    <t>Code generation, data creation, SQL fix</t>
  </si>
  <si>
    <t>Speed up coding &amp; data setup</t>
  </si>
  <si>
    <t>Antigravity</t>
  </si>
  <si>
    <t>CORE PROMPTS DISTRIBUTION BY DTC COMPONENT</t>
  </si>
  <si>
    <t>DTC Component</t>
  </si>
  <si>
    <t>Number of Prompts</t>
  </si>
  <si>
    <t>Required (Min)</t>
  </si>
  <si>
    <t>≥ 1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</si>
  <si>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</si>
  <si>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</si>
  <si>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</si>
  <si>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</si>
  <si>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</si>
  <si>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</si>
  <si>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</si>
  <si>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</si>
  <si>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</si>
  <si>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</si>
  <si>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</si>
  <si>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</si>
  <si>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</si>
  <si>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Logic Error</t>
  </si>
  <si>
    <t>Pre-computing một hash duy nhất rồi gán cho tất cả 2000 users là cách tối ưu vì tiết kiệm CPU</t>
  </si>
  <si>
    <t>Hash function là deterministic: cùng input → cùng output. Tất cả 2000 dòng có cùng chuỗi hash, vi phạm yêu cầu mật khẩu riêng biệt.</t>
  </si>
  <si>
    <t>Đọc kỹ code output, nhận ra biến hashedPassword được tính 1 lần trước for loop → 2000 dòng cùng giá trị</t>
  </si>
  <si>
    <t>Chuyển hashPassword() vào bên trong vòng lặp, truyền rawPassword riêng cho từng ID</t>
  </si>
  <si>
    <t>Oversimplification</t>
  </si>
  <si>
    <t>Bọc địa chỉ bằng dấu ngoặc kép (FIELDQUOTE) là đủ để SQL Server BULK INSERT không bị lệch cột</t>
  </si>
  <si>
    <t>BULK INSERT mặc định của SQL Server KHÔNG xử lý FIELDQUOTE nếu không khai báo FORMAT='CSV'. Test thực tế vẫn ra lỗi Msg 4864.</t>
  </si>
  <si>
    <t>Chạy BULK INSERT theo hướng dẫn của AI → vẫn lỗi Msg 4864 type mismatch ở cột rating</t>
  </si>
  <si>
    <t>Thay dấu phẩy trong chuỗi địa chỉ bằng dấu gạch ngang '-' để loại bỏ ambiguity mà không cần FIELDQUOTE</t>
  </si>
  <si>
    <t>Script Java sinh total_price ngẫu nhiên độc lập (50k-400k) trong bảng orders là hợp lệ</t>
  </si>
  <si>
    <t>total_price phải bằng SUM(quantity x price_at_time) của order_items. Chênh lệch thực tế hàng triệu đồng; SQL verification Lỗi 3 trả về 3000+ đơn hàng sai.</t>
  </si>
  <si>
    <t>Chạy SQL query ABS(o.total_price - SUM(oi.quantity * oi.price_at_time)) &gt; 0.01 → toàn bộ đơn hàng bị sai</t>
  </si>
  <si>
    <t>Gộp generateOrders() + generateOrderItems() thành hàm đồng bộ, tính computedTotalPrice bằng cộng dồn thực tế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</si>
  <si>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</si>
  <si>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</si>
  <si>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</si>
  <si>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</si>
  <si>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</si>
  <si>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</si>
  <si>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AI bỏ qua edge cases, exceptions</t>
  </si>
  <si>
    <t>Code không handle array rỗng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</si>
  <si>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</si>
  <si>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</si>
  <si>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</si>
  <si>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</si>
  <si>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</si>
  <si>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</si>
  <si>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</si>
  <si>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</si>
  <si>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Hash function là deterministic: cùng input → cùng output. Tất cả 2000 dòng có cùng chuỗi hash, vi phạm yêu cầu 'mật khẩu riêng biệt'.</t>
  </si>
  <si>
    <t>BULK INSERT mặc định của SQL Server KHÔNG xử lý FIELDQUOTE; phải khai báo FORMAT='CSV' hoặc dùng OPENROWSET. Test thực tế vẫn ra lỗi Msg 4864.</t>
  </si>
  <si>
    <t>Script Python/Java sinh total_price ngẫu nhiên độc lập (50k–400k) trong bảng orders là hợp lệ</t>
  </si>
  <si>
    <t>total_price phải bằng SUM(quantity × price_at_time) của order_items tương ứng. Chênh lệch thực tế lên đến hàng triệu đồng — SQL verification query Lỗi 3 trả về toàn bộ 3000+ đơn hàng bị sai.</t>
  </si>
  <si>
    <t>Chạy SQL verification query: SELECT ABS(o.total_price - SUM(oi.quantity * oi.price_at_time)) → tất cả đơn hàng đều có chênh lệch</t>
  </si>
  <si>
    <t>Gộp generateOrders() + generateOrderItems() thành hàm đồng bộ, tính computedTotalPrice bằng cộng dồn thực tế trước khi ghi file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</si>
  <si>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</si>
  <si>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</si>
  <si>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</si>
  <si>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</si>
  <si>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</si>
  <si>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</si>
  <si>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</si>
  <si>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</si>
  <si>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</si>
  <si>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✅</t>
  </si>
  <si>
    <t>Entries 004-007: mỗi prompt đều dẫn đến thay đổi schema DB, logic data generator, hoặc kiến trúc import pipeline</t>
  </si>
  <si>
    <t>2</t>
  </si>
  <si>
    <t>Nếu không có prompt này, project có thay đổi về architecture/design?</t>
  </si>
  <si>
    <t>004 → đổi toàn bộ DDL sang T-SQL; 006 → đổi cách encode địa chỉ CSV; 007 → refactor data generator</t>
  </si>
  <si>
    <t>3</t>
  </si>
  <si>
    <t>Tôi có thể giải thích lý do chọn/không chọn gợi ý của AI?</t>
  </si>
  <si>
    <t>Có thể giải thích từng quyết định: DOUBLE→FLOAT, salt-per-user password, dấu gạch ngang thay phẩy, computedTotalPrice</t>
  </si>
  <si>
    <t>4</t>
  </si>
  <si>
    <t>Có minh chứng cụ thể (code, metrics, comparison)?</t>
  </si>
  <si>
    <t>004: lỗi Msg 102 screenshot; 005: CSV diff hash; 006: Msg 4864 + code fix; 007: SQL query 0 rows</t>
  </si>
  <si>
    <t>5</t>
  </si>
  <si>
    <t>Prompt này phản ánh tư duy phản biện, không chỉ copy AI?</t>
  </si>
  <si>
    <t>Mỗi entry đều phản bác hoặc sửa đổi gợi ý của AI, không copy-paste nguyên xi</t>
  </si>
  <si>
    <t>B. KIỂM TRA TỔNG THỂ LOG</t>
  </si>
  <si>
    <t>Current Value</t>
  </si>
  <si>
    <t>Số lượng entries nằm trong range (min-max)?</t>
  </si>
  <si>
    <t>7 entries (004-007 từ Gemini session + 001-003 từ template). Tổng hợp hợp lệ.</t>
  </si>
  <si>
    <t>Mỗi DTC component có ít nhất 1 core prompt?</t>
  </si>
  <si>
    <t>Decomposition ✓ (004), Pattern Recognition ✓ (006), Abstraction ✓ (007), Algorithms ✓ (005)</t>
  </si>
  <si>
    <t>Đã phát hiện ≥ số lượng hallucination yêu cầu?</t>
  </si>
  <si>
    <t>3 hallucinations detected (entries 005, 006, 007) — đủ ≥2 yêu cầu cho Assignment</t>
  </si>
  <si>
    <t>Mỗi entry đều có Human Delta đầy đủ (4 câu hỏi)?</t>
  </si>
  <si>
    <t>Tất cả 4 entries đều có đủ: Critical Thinking + Contextualization + Creative Synthesis + Decision</t>
  </si>
  <si>
    <t>Có evidence cho ≥70% entries?</t>
  </si>
  <si>
    <t>100% entries có evidence (4/4): screenshots SSMS, code diff, SQL query results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</si>
  <si>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</si>
  <si>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</si>
  <si>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</si>
  <si>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</si>
  <si>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</si>
  <si>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</si>
  <si>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</si>
  <si>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</si>
  <si>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— lý do gộp 10 modules thành 5</t>
  </si>
  <si>
    <t>Có — AI gợi ý 10 modules</t>
  </si>
  <si>
    <t>Có — lý do chọn HashMap thay Binary Search</t>
  </si>
  <si>
    <t>Có — AI gợi ý Binary Search O(log n)</t>
  </si>
  <si>
    <t>Có — code + timing</t>
  </si>
  <si>
    <t>Có — đây là hallucination fabrication điển hình</t>
  </si>
  <si>
    <t>Có — AI xác nhận paper tồn tại (sai)</t>
  </si>
  <si>
    <t>Có — SQL Server dùng FLOAT/NVARCHAR, không dùng DOUBLE/VARCHAR</t>
  </si>
  <si>
    <t>Có — AI cung cấp DDL MySQL chuẩn rồi sửa sang T-SQL</t>
  </si>
  <si>
    <t>Có — lỗi Msg 102 + DDL đã sửa</t>
  </si>
  <si>
    <t>Có — hash deterministic: cùng input = cùng output, phải hash trong loop</t>
  </si>
  <si>
    <t>Có — AI thừa nhận lỗi pre-hash và đề xuất fix</t>
  </si>
  <si>
    <t>Có — CSV diff 2000 chuỗi hash khác nhau</t>
  </si>
  <si>
    <t>Có — BULK INSERT không parse FIELDQUOTE mặc định, fix bằng '-' trong chuỗi</t>
  </si>
  <si>
    <t>Có — AI đề xuất 2 giải pháp, giải pháp 1 không work</t>
  </si>
  <si>
    <t>Có — Msg 4864 screenshot + code fix</t>
  </si>
  <si>
    <t>Có — total_price phải = SUM(qty*price), không thể random độc lập</t>
  </si>
  <si>
    <t>Có — AI cung cấp 4 SQL verification queries và phát hiện lỗi</t>
  </si>
  <si>
    <t>Có — SQL query trả về 0 rows sau fix</t>
  </si>
  <si>
    <t>Có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</si>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</sst>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b/>
      <sz val="10"/>
      <name val="Arial"/>
    </font>
    <font>
      <b/>
      <sz val="9"/>
      <color rgb="FF000000"/>
      <name val="Arial"/>
    </font>
    <font>
      <sz val="9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EEAF1"/>
      </patternFill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FCE4D6"/>
      </patternFill>
    </fill>
    <fill>
      <patternFill patternType="solid">
        <fgColor rgb="FF7B3F00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4" fillId="6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top" wrapText="1"/>
    </xf>
    <xf numFmtId="0" fontId="15" fillId="8" borderId="3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left" vertical="top" wrapText="1"/>
    </xf>
    <xf numFmtId="0" fontId="16" fillId="9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left" vertical="top" wrapText="1"/>
    </xf>
    <xf numFmtId="0" fontId="15" fillId="10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left" vertical="top" wrapText="1"/>
    </xf>
    <xf numFmtId="0" fontId="17" fillId="11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left" vertical="top" wrapText="1"/>
    </xf>
    <xf numFmtId="0" fontId="13" fillId="11" borderId="3" xfId="0" applyFont="1" applyFill="1" applyBorder="1" applyAlignment="1">
      <alignment horizontal="left" vertical="top" wrapText="1"/>
    </xf>
    <xf numFmtId="0" fontId="18" fillId="7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left" vertical="center" wrapText="1"/>
    </xf>
    <xf numFmtId="0" fontId="19" fillId="11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7" fillId="9" borderId="3" xfId="0" quotePrefix="1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0" fontId="14" fillId="6" borderId="3" xfId="0" quotePrefix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6" workbookViewId="0">
      <selection activeCell="C22" sqref="C22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39" t="s">
        <v>44</v>
      </c>
      <c r="B1" s="38"/>
      <c r="C1" s="38"/>
      <c r="D1" s="38"/>
      <c r="E1" s="38"/>
      <c r="F1" s="38"/>
    </row>
    <row r="3" spans="1:6" ht="18" customHeight="1" x14ac:dyDescent="0.35">
      <c r="A3" s="1" t="s">
        <v>45</v>
      </c>
    </row>
    <row r="4" spans="1:6" x14ac:dyDescent="0.3">
      <c r="A4" s="2" t="s">
        <v>46</v>
      </c>
      <c r="C4" t="s">
        <v>47</v>
      </c>
    </row>
    <row r="5" spans="1:6" x14ac:dyDescent="0.3">
      <c r="A5" s="2" t="s">
        <v>48</v>
      </c>
      <c r="C5" t="s">
        <v>49</v>
      </c>
    </row>
    <row r="6" spans="1:6" x14ac:dyDescent="0.3">
      <c r="A6" s="2" t="s">
        <v>50</v>
      </c>
      <c r="C6" t="s">
        <v>51</v>
      </c>
    </row>
    <row r="7" spans="1:6" x14ac:dyDescent="0.3">
      <c r="A7" s="2" t="s">
        <v>52</v>
      </c>
      <c r="C7" t="s">
        <v>53</v>
      </c>
    </row>
    <row r="9" spans="1:6" ht="18" customHeight="1" x14ac:dyDescent="0.35">
      <c r="A9" s="1" t="s">
        <v>54</v>
      </c>
    </row>
    <row r="10" spans="1:6" x14ac:dyDescent="0.3">
      <c r="A10" s="2" t="s">
        <v>55</v>
      </c>
      <c r="C10">
        <v>28</v>
      </c>
    </row>
    <row r="11" spans="1:6" x14ac:dyDescent="0.3">
      <c r="A11" s="2" t="s">
        <v>56</v>
      </c>
      <c r="C11" s="3">
        <v>4</v>
      </c>
    </row>
    <row r="12" spans="1:6" x14ac:dyDescent="0.3">
      <c r="A12" s="2" t="s">
        <v>57</v>
      </c>
      <c r="C12" s="4">
        <f>C11/C10</f>
        <v>0.14285714285714285</v>
      </c>
      <c r="E12" s="5" t="s">
        <v>58</v>
      </c>
    </row>
    <row r="13" spans="1:6" x14ac:dyDescent="0.3">
      <c r="A13" s="2" t="s">
        <v>59</v>
      </c>
      <c r="C13" s="3">
        <v>2</v>
      </c>
    </row>
    <row r="15" spans="1:6" ht="18" customHeight="1" x14ac:dyDescent="0.35">
      <c r="A15" s="1" t="s">
        <v>60</v>
      </c>
    </row>
    <row r="16" spans="1:6" x14ac:dyDescent="0.3">
      <c r="A16" s="6" t="s">
        <v>61</v>
      </c>
      <c r="B16" s="6" t="s">
        <v>62</v>
      </c>
      <c r="C16" s="6" t="s">
        <v>63</v>
      </c>
      <c r="D16" s="6" t="s">
        <v>64</v>
      </c>
    </row>
    <row r="17" spans="1:4" x14ac:dyDescent="0.3">
      <c r="A17" s="7" t="s">
        <v>65</v>
      </c>
      <c r="B17" s="7" t="s">
        <v>66</v>
      </c>
      <c r="C17" s="7" t="s">
        <v>67</v>
      </c>
      <c r="D17" s="7" t="s">
        <v>68</v>
      </c>
    </row>
    <row r="18" spans="1:4" x14ac:dyDescent="0.3">
      <c r="A18" s="7" t="s">
        <v>69</v>
      </c>
      <c r="B18" s="7" t="s">
        <v>70</v>
      </c>
      <c r="C18" s="7" t="s">
        <v>71</v>
      </c>
      <c r="D18" s="7" t="s">
        <v>72</v>
      </c>
    </row>
    <row r="19" spans="1:4" x14ac:dyDescent="0.3">
      <c r="A19" s="7" t="s">
        <v>73</v>
      </c>
      <c r="B19" s="7" t="s">
        <v>74</v>
      </c>
      <c r="C19" s="7" t="s">
        <v>67</v>
      </c>
      <c r="D19" s="7" t="s">
        <v>75</v>
      </c>
    </row>
    <row r="20" spans="1:4" x14ac:dyDescent="0.3">
      <c r="A20" s="7" t="s">
        <v>76</v>
      </c>
      <c r="B20" s="7" t="s">
        <v>77</v>
      </c>
      <c r="C20" s="7" t="s">
        <v>67</v>
      </c>
      <c r="D20" t="s">
        <v>78</v>
      </c>
    </row>
    <row r="21" spans="1:4" x14ac:dyDescent="0.3">
      <c r="A21" s="18" t="s">
        <v>79</v>
      </c>
      <c r="B21" s="7" t="s">
        <v>66</v>
      </c>
      <c r="C21" s="47" t="s">
        <v>197</v>
      </c>
      <c r="D21" t="s">
        <v>78</v>
      </c>
    </row>
    <row r="22" spans="1:4" ht="18" customHeight="1" x14ac:dyDescent="0.35">
      <c r="A22" s="1" t="s">
        <v>80</v>
      </c>
    </row>
    <row r="23" spans="1:4" x14ac:dyDescent="0.3">
      <c r="A23" s="6" t="s">
        <v>81</v>
      </c>
      <c r="B23" s="6" t="s">
        <v>82</v>
      </c>
      <c r="C23" s="6" t="s">
        <v>83</v>
      </c>
    </row>
    <row r="24" spans="1:4" x14ac:dyDescent="0.3">
      <c r="A24" s="7" t="s">
        <v>12</v>
      </c>
      <c r="B24" s="8">
        <v>2</v>
      </c>
      <c r="C24" s="9" t="s">
        <v>84</v>
      </c>
    </row>
    <row r="25" spans="1:4" x14ac:dyDescent="0.3">
      <c r="A25" s="7" t="s">
        <v>31</v>
      </c>
      <c r="B25" s="8">
        <v>1</v>
      </c>
      <c r="C25" s="9" t="s">
        <v>84</v>
      </c>
    </row>
    <row r="26" spans="1:4" x14ac:dyDescent="0.3">
      <c r="A26" s="7" t="s">
        <v>38</v>
      </c>
      <c r="B26" s="8">
        <v>1</v>
      </c>
      <c r="C26" s="9" t="s">
        <v>84</v>
      </c>
    </row>
    <row r="27" spans="1:4" x14ac:dyDescent="0.3">
      <c r="A27" s="7" t="s">
        <v>15</v>
      </c>
      <c r="B27" s="8">
        <v>1</v>
      </c>
      <c r="C27" s="9" t="s">
        <v>84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opLeftCell="A6" workbookViewId="0">
      <selection activeCell="A8" sqref="A8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39" t="s">
        <v>0</v>
      </c>
      <c r="B1" s="38"/>
      <c r="C1" s="38"/>
      <c r="D1" s="38"/>
      <c r="E1" s="38"/>
      <c r="F1" s="38"/>
      <c r="G1" s="38"/>
      <c r="H1" s="38"/>
    </row>
    <row r="2" spans="1:8" ht="30" customHeight="1" x14ac:dyDescent="0.3">
      <c r="A2" s="37" t="s">
        <v>1</v>
      </c>
      <c r="B2" s="38"/>
      <c r="C2" s="38"/>
      <c r="D2" s="38"/>
      <c r="E2" s="38"/>
      <c r="F2" s="38"/>
      <c r="G2" s="38"/>
      <c r="H2" s="38"/>
    </row>
    <row r="3" spans="1:8" ht="40.049999999999997" customHeigh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ht="109.95" customHeight="1" x14ac:dyDescent="0.3">
      <c r="A4" s="46" t="s">
        <v>10</v>
      </c>
      <c r="B4" s="20" t="s">
        <v>11</v>
      </c>
      <c r="C4" s="21" t="s">
        <v>12</v>
      </c>
      <c r="D4" s="22" t="s">
        <v>19</v>
      </c>
      <c r="E4" s="22" t="s">
        <v>20</v>
      </c>
      <c r="F4" s="22" t="s">
        <v>21</v>
      </c>
      <c r="G4" s="22" t="s">
        <v>22</v>
      </c>
      <c r="H4" s="22" t="s">
        <v>23</v>
      </c>
    </row>
    <row r="5" spans="1:8" ht="109.95" customHeight="1" x14ac:dyDescent="0.3">
      <c r="A5" s="46" t="s">
        <v>13</v>
      </c>
      <c r="B5" s="23" t="s">
        <v>14</v>
      </c>
      <c r="C5" s="24" t="s">
        <v>15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29</v>
      </c>
    </row>
    <row r="6" spans="1:8" ht="109.95" customHeight="1" x14ac:dyDescent="0.3">
      <c r="A6" s="46" t="s">
        <v>16</v>
      </c>
      <c r="B6" s="23" t="s">
        <v>14</v>
      </c>
      <c r="C6" s="26" t="s">
        <v>31</v>
      </c>
      <c r="D6" s="27" t="s">
        <v>32</v>
      </c>
      <c r="E6" s="27" t="s">
        <v>33</v>
      </c>
      <c r="F6" s="27" t="s">
        <v>34</v>
      </c>
      <c r="G6" s="27" t="s">
        <v>35</v>
      </c>
      <c r="H6" s="27" t="s">
        <v>36</v>
      </c>
    </row>
    <row r="7" spans="1:8" ht="109.95" customHeight="1" x14ac:dyDescent="0.3">
      <c r="A7" s="46" t="s">
        <v>18</v>
      </c>
      <c r="B7" s="28" t="s">
        <v>17</v>
      </c>
      <c r="C7" s="21" t="s">
        <v>38</v>
      </c>
      <c r="D7" s="22" t="s">
        <v>39</v>
      </c>
      <c r="E7" s="22" t="s">
        <v>40</v>
      </c>
      <c r="F7" s="22" t="s">
        <v>41</v>
      </c>
      <c r="G7" s="22" t="s">
        <v>42</v>
      </c>
      <c r="H7" s="22" t="s">
        <v>43</v>
      </c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topLeftCell="A2" workbookViewId="0">
      <selection activeCell="A8" sqref="A8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41" t="s">
        <v>85</v>
      </c>
      <c r="B1" s="38"/>
      <c r="C1" s="38"/>
      <c r="D1" s="38"/>
      <c r="E1" s="38"/>
      <c r="F1" s="38"/>
    </row>
    <row r="2" spans="1:6" x14ac:dyDescent="0.3">
      <c r="A2" s="40" t="s">
        <v>86</v>
      </c>
      <c r="B2" s="38"/>
      <c r="C2" s="38"/>
      <c r="D2" s="38"/>
      <c r="E2" s="38"/>
      <c r="F2" s="38"/>
    </row>
    <row r="3" spans="1:6" ht="40.049999999999997" customHeight="1" x14ac:dyDescent="0.3">
      <c r="A3" s="6" t="s">
        <v>87</v>
      </c>
      <c r="B3" s="6" t="s">
        <v>88</v>
      </c>
      <c r="C3" s="6" t="s">
        <v>89</v>
      </c>
      <c r="D3" s="6" t="s">
        <v>90</v>
      </c>
      <c r="E3" s="6" t="s">
        <v>91</v>
      </c>
      <c r="F3" s="6" t="s">
        <v>92</v>
      </c>
    </row>
    <row r="4" spans="1:6" ht="60" customHeight="1" x14ac:dyDescent="0.3">
      <c r="A4" s="43" t="s">
        <v>10</v>
      </c>
      <c r="B4" s="7" t="s">
        <v>93</v>
      </c>
      <c r="C4" s="7" t="s">
        <v>94</v>
      </c>
      <c r="D4" s="7" t="s">
        <v>95</v>
      </c>
      <c r="E4" s="7" t="s">
        <v>96</v>
      </c>
      <c r="F4" s="7" t="s">
        <v>97</v>
      </c>
    </row>
    <row r="5" spans="1:6" ht="75" customHeight="1" x14ac:dyDescent="0.3">
      <c r="A5" s="44" t="s">
        <v>13</v>
      </c>
      <c r="B5" s="30" t="s">
        <v>98</v>
      </c>
      <c r="C5" s="27" t="s">
        <v>99</v>
      </c>
      <c r="D5" s="27" t="s">
        <v>100</v>
      </c>
      <c r="E5" s="27" t="s">
        <v>101</v>
      </c>
      <c r="F5" s="27" t="s">
        <v>102</v>
      </c>
    </row>
    <row r="6" spans="1:6" ht="75" customHeight="1" x14ac:dyDescent="0.3">
      <c r="A6" s="45" t="s">
        <v>16</v>
      </c>
      <c r="B6" s="32" t="s">
        <v>103</v>
      </c>
      <c r="C6" s="33" t="s">
        <v>104</v>
      </c>
      <c r="D6" s="33" t="s">
        <v>105</v>
      </c>
      <c r="E6" s="33" t="s">
        <v>106</v>
      </c>
      <c r="F6" s="33" t="s">
        <v>107</v>
      </c>
    </row>
    <row r="7" spans="1:6" ht="75" customHeight="1" x14ac:dyDescent="0.3">
      <c r="A7" s="44" t="s">
        <v>18</v>
      </c>
      <c r="B7" s="30" t="s">
        <v>98</v>
      </c>
      <c r="C7" s="27" t="s">
        <v>108</v>
      </c>
      <c r="D7" s="27" t="s">
        <v>109</v>
      </c>
      <c r="E7" s="27" t="s">
        <v>110</v>
      </c>
      <c r="F7" s="27" t="s">
        <v>111</v>
      </c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25" spans="1:6" x14ac:dyDescent="0.3">
      <c r="A25" s="7"/>
      <c r="B25" s="7"/>
      <c r="C25" s="7"/>
      <c r="D25" s="7"/>
      <c r="E25" s="7"/>
      <c r="F25" s="7"/>
    </row>
    <row r="26" spans="1:6" x14ac:dyDescent="0.3">
      <c r="A26" s="7"/>
      <c r="B26" s="7"/>
      <c r="C26" s="7"/>
      <c r="D26" s="7"/>
      <c r="E26" s="7"/>
      <c r="F26" s="7"/>
    </row>
    <row r="27" spans="1:6" x14ac:dyDescent="0.3">
      <c r="A27" s="7"/>
      <c r="B27" s="7"/>
      <c r="C27" s="7"/>
      <c r="D27" s="7"/>
      <c r="E27" s="7"/>
      <c r="F27" s="7"/>
    </row>
    <row r="30" spans="1:6" ht="18" customHeight="1" x14ac:dyDescent="0.3"/>
    <row r="32" spans="1:6" ht="28.8" customHeight="1" x14ac:dyDescent="0.3"/>
    <row r="33" spans="1:6" ht="28.8" customHeight="1" x14ac:dyDescent="0.35">
      <c r="A33" s="1" t="s">
        <v>112</v>
      </c>
    </row>
    <row r="34" spans="1:6" ht="28.8" customHeight="1" x14ac:dyDescent="0.3">
      <c r="A34" s="10" t="s">
        <v>113</v>
      </c>
      <c r="B34" s="10" t="s">
        <v>114</v>
      </c>
      <c r="C34" s="10" t="s">
        <v>115</v>
      </c>
    </row>
    <row r="35" spans="1:6" ht="28.8" customHeight="1" x14ac:dyDescent="0.3">
      <c r="A35" s="7" t="s">
        <v>93</v>
      </c>
      <c r="B35" s="7" t="s">
        <v>116</v>
      </c>
      <c r="C35" s="7" t="s">
        <v>117</v>
      </c>
    </row>
    <row r="36" spans="1:6" ht="43.2" customHeight="1" x14ac:dyDescent="0.3">
      <c r="A36" s="7" t="s">
        <v>103</v>
      </c>
      <c r="B36" s="7" t="s">
        <v>118</v>
      </c>
      <c r="C36" s="7" t="s">
        <v>119</v>
      </c>
    </row>
    <row r="37" spans="1:6" ht="79.95" customHeight="1" x14ac:dyDescent="0.3">
      <c r="A37" s="7" t="s">
        <v>98</v>
      </c>
      <c r="B37" s="7" t="s">
        <v>120</v>
      </c>
      <c r="C37" s="7" t="s">
        <v>121</v>
      </c>
    </row>
    <row r="38" spans="1:6" ht="79.95" customHeight="1" x14ac:dyDescent="0.3">
      <c r="A38" s="7" t="s">
        <v>122</v>
      </c>
      <c r="B38" s="7" t="s">
        <v>123</v>
      </c>
      <c r="C38" s="7" t="s">
        <v>124</v>
      </c>
    </row>
    <row r="39" spans="1:6" ht="79.95" customHeight="1" x14ac:dyDescent="0.3">
      <c r="A39" s="7" t="s">
        <v>125</v>
      </c>
      <c r="B39" s="7" t="s">
        <v>126</v>
      </c>
      <c r="C39" s="7" t="s">
        <v>127</v>
      </c>
    </row>
    <row r="40" spans="1:6" ht="45.6" x14ac:dyDescent="0.3">
      <c r="A40" s="29" t="s">
        <v>24</v>
      </c>
      <c r="B40" s="30" t="s">
        <v>98</v>
      </c>
      <c r="C40" s="27" t="s">
        <v>99</v>
      </c>
      <c r="D40" s="27" t="s">
        <v>128</v>
      </c>
      <c r="E40" s="27" t="s">
        <v>101</v>
      </c>
      <c r="F40" s="27" t="s">
        <v>102</v>
      </c>
    </row>
    <row r="41" spans="1:6" ht="57" x14ac:dyDescent="0.3">
      <c r="A41" s="31" t="s">
        <v>30</v>
      </c>
      <c r="B41" s="32" t="s">
        <v>103</v>
      </c>
      <c r="C41" s="33" t="s">
        <v>104</v>
      </c>
      <c r="D41" s="33" t="s">
        <v>129</v>
      </c>
      <c r="E41" s="33" t="s">
        <v>106</v>
      </c>
      <c r="F41" s="33" t="s">
        <v>107</v>
      </c>
    </row>
    <row r="42" spans="1:6" ht="57" x14ac:dyDescent="0.3">
      <c r="A42" s="29" t="s">
        <v>37</v>
      </c>
      <c r="B42" s="30" t="s">
        <v>98</v>
      </c>
      <c r="C42" s="27" t="s">
        <v>130</v>
      </c>
      <c r="D42" s="27" t="s">
        <v>131</v>
      </c>
      <c r="E42" s="27" t="s">
        <v>132</v>
      </c>
      <c r="F42" s="27" t="s">
        <v>133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opLeftCell="A26" workbookViewId="0">
      <selection activeCell="G31" sqref="G31"/>
    </sheetView>
  </sheetViews>
  <sheetFormatPr defaultRowHeight="14.4" x14ac:dyDescent="0.3"/>
  <cols>
    <col min="1" max="1" width="10" customWidth="1"/>
    <col min="2" max="4" width="42" customWidth="1"/>
  </cols>
  <sheetData>
    <row r="1" spans="1:4" x14ac:dyDescent="0.3">
      <c r="A1" s="39" t="s">
        <v>134</v>
      </c>
      <c r="B1" s="38"/>
      <c r="C1" s="38"/>
      <c r="D1" s="38"/>
    </row>
    <row r="2" spans="1:4" x14ac:dyDescent="0.3">
      <c r="A2" s="42" t="s">
        <v>135</v>
      </c>
      <c r="B2" s="38"/>
      <c r="C2" s="38"/>
      <c r="D2" s="38"/>
    </row>
    <row r="4" spans="1:4" ht="18" customHeight="1" x14ac:dyDescent="0.35">
      <c r="A4" s="1" t="s">
        <v>136</v>
      </c>
    </row>
    <row r="5" spans="1:4" x14ac:dyDescent="0.3">
      <c r="A5" s="6" t="s">
        <v>137</v>
      </c>
      <c r="B5" s="11" t="s">
        <v>138</v>
      </c>
      <c r="C5" s="6" t="s">
        <v>139</v>
      </c>
      <c r="D5" s="11" t="s">
        <v>140</v>
      </c>
    </row>
    <row r="6" spans="1:4" ht="34.200000000000003" x14ac:dyDescent="0.3">
      <c r="A6" s="12" t="s">
        <v>141</v>
      </c>
      <c r="B6" s="13" t="s">
        <v>142</v>
      </c>
      <c r="C6" s="34" t="s">
        <v>143</v>
      </c>
      <c r="D6" s="35" t="s">
        <v>144</v>
      </c>
    </row>
    <row r="7" spans="1:4" ht="27.6" x14ac:dyDescent="0.3">
      <c r="A7" s="12" t="s">
        <v>145</v>
      </c>
      <c r="B7" s="13" t="s">
        <v>146</v>
      </c>
      <c r="C7" s="34" t="s">
        <v>143</v>
      </c>
      <c r="D7" s="35" t="s">
        <v>147</v>
      </c>
    </row>
    <row r="8" spans="1:4" ht="34.200000000000003" x14ac:dyDescent="0.3">
      <c r="A8" s="12" t="s">
        <v>148</v>
      </c>
      <c r="B8" s="13" t="s">
        <v>149</v>
      </c>
      <c r="C8" s="34" t="s">
        <v>143</v>
      </c>
      <c r="D8" s="35" t="s">
        <v>150</v>
      </c>
    </row>
    <row r="9" spans="1:4" ht="22.8" x14ac:dyDescent="0.3">
      <c r="A9" s="12" t="s">
        <v>151</v>
      </c>
      <c r="B9" s="13" t="s">
        <v>152</v>
      </c>
      <c r="C9" s="34" t="s">
        <v>143</v>
      </c>
      <c r="D9" s="35" t="s">
        <v>153</v>
      </c>
    </row>
    <row r="10" spans="1:4" ht="27.6" x14ac:dyDescent="0.3">
      <c r="A10" s="12" t="s">
        <v>154</v>
      </c>
      <c r="B10" s="13" t="s">
        <v>155</v>
      </c>
      <c r="C10" s="34" t="s">
        <v>143</v>
      </c>
      <c r="D10" s="35" t="s">
        <v>156</v>
      </c>
    </row>
    <row r="12" spans="1:4" ht="18" customHeight="1" x14ac:dyDescent="0.35">
      <c r="A12" s="1" t="s">
        <v>157</v>
      </c>
    </row>
    <row r="13" spans="1:4" x14ac:dyDescent="0.3">
      <c r="A13" s="6" t="s">
        <v>137</v>
      </c>
      <c r="B13" s="11" t="s">
        <v>138</v>
      </c>
      <c r="C13" s="6" t="s">
        <v>139</v>
      </c>
      <c r="D13" s="11" t="s">
        <v>158</v>
      </c>
    </row>
    <row r="14" spans="1:4" ht="22.8" x14ac:dyDescent="0.3">
      <c r="A14" s="12" t="s">
        <v>141</v>
      </c>
      <c r="B14" s="13" t="s">
        <v>159</v>
      </c>
      <c r="C14" s="34" t="s">
        <v>143</v>
      </c>
      <c r="D14" s="35" t="s">
        <v>160</v>
      </c>
    </row>
    <row r="15" spans="1:4" ht="22.8" x14ac:dyDescent="0.3">
      <c r="A15" s="12" t="s">
        <v>145</v>
      </c>
      <c r="B15" s="13" t="s">
        <v>161</v>
      </c>
      <c r="C15" s="34" t="s">
        <v>143</v>
      </c>
      <c r="D15" s="35" t="s">
        <v>162</v>
      </c>
    </row>
    <row r="16" spans="1:4" ht="22.8" x14ac:dyDescent="0.3">
      <c r="A16" s="12" t="s">
        <v>148</v>
      </c>
      <c r="B16" s="13" t="s">
        <v>163</v>
      </c>
      <c r="C16" s="34" t="s">
        <v>143</v>
      </c>
      <c r="D16" s="35" t="s">
        <v>164</v>
      </c>
    </row>
    <row r="17" spans="1:4" ht="22.8" x14ac:dyDescent="0.3">
      <c r="A17" s="12" t="s">
        <v>151</v>
      </c>
      <c r="B17" s="13" t="s">
        <v>165</v>
      </c>
      <c r="C17" s="34" t="s">
        <v>143</v>
      </c>
      <c r="D17" s="35" t="s">
        <v>166</v>
      </c>
    </row>
    <row r="18" spans="1:4" ht="22.8" x14ac:dyDescent="0.3">
      <c r="A18" s="12" t="s">
        <v>154</v>
      </c>
      <c r="B18" s="13" t="s">
        <v>167</v>
      </c>
      <c r="C18" s="34" t="s">
        <v>143</v>
      </c>
      <c r="D18" s="35" t="s">
        <v>168</v>
      </c>
    </row>
    <row r="20" spans="1:4" ht="15.6" customHeight="1" x14ac:dyDescent="0.3">
      <c r="A20" s="14" t="s">
        <v>169</v>
      </c>
    </row>
    <row r="21" spans="1:4" x14ac:dyDescent="0.3">
      <c r="A21" s="15" t="s">
        <v>170</v>
      </c>
    </row>
    <row r="22" spans="1:4" x14ac:dyDescent="0.3">
      <c r="A22" s="15" t="s">
        <v>171</v>
      </c>
    </row>
    <row r="25" spans="1:4" ht="18" customHeight="1" x14ac:dyDescent="0.35">
      <c r="A25" s="1" t="s">
        <v>172</v>
      </c>
    </row>
    <row r="26" spans="1:4" x14ac:dyDescent="0.3">
      <c r="A26" s="16" t="s">
        <v>173</v>
      </c>
    </row>
    <row r="27" spans="1:4" ht="43.2" customHeight="1" x14ac:dyDescent="0.3">
      <c r="A27" s="17" t="s">
        <v>2</v>
      </c>
      <c r="B27" s="10" t="s">
        <v>174</v>
      </c>
      <c r="C27" s="10" t="s">
        <v>175</v>
      </c>
      <c r="D27" s="10" t="s">
        <v>176</v>
      </c>
    </row>
    <row r="28" spans="1:4" ht="45" customHeight="1" x14ac:dyDescent="0.3">
      <c r="A28" s="19" t="s">
        <v>10</v>
      </c>
      <c r="B28" s="36" t="s">
        <v>177</v>
      </c>
      <c r="C28" s="36" t="s">
        <v>178</v>
      </c>
      <c r="D28" s="35" t="s">
        <v>196</v>
      </c>
    </row>
    <row r="29" spans="1:4" ht="45" customHeight="1" x14ac:dyDescent="0.3">
      <c r="A29" s="19" t="s">
        <v>13</v>
      </c>
      <c r="B29" s="36" t="s">
        <v>179</v>
      </c>
      <c r="C29" s="36" t="s">
        <v>180</v>
      </c>
      <c r="D29" s="35" t="s">
        <v>181</v>
      </c>
    </row>
    <row r="30" spans="1:4" ht="45" customHeight="1" x14ac:dyDescent="0.3">
      <c r="A30" s="19" t="s">
        <v>16</v>
      </c>
      <c r="B30" s="36" t="s">
        <v>182</v>
      </c>
      <c r="C30" s="36" t="s">
        <v>183</v>
      </c>
      <c r="D30" s="35" t="s">
        <v>196</v>
      </c>
    </row>
    <row r="31" spans="1:4" ht="45" customHeight="1" x14ac:dyDescent="0.3">
      <c r="A31" s="19" t="s">
        <v>18</v>
      </c>
      <c r="B31" s="36" t="s">
        <v>184</v>
      </c>
      <c r="C31" s="36" t="s">
        <v>185</v>
      </c>
      <c r="D31" s="35" t="s">
        <v>186</v>
      </c>
    </row>
    <row r="32" spans="1:4" ht="45" customHeight="1" x14ac:dyDescent="0.3">
      <c r="A32" s="19" t="s">
        <v>24</v>
      </c>
      <c r="B32" s="36" t="s">
        <v>187</v>
      </c>
      <c r="C32" s="36" t="s">
        <v>188</v>
      </c>
      <c r="D32" s="35" t="s">
        <v>189</v>
      </c>
    </row>
    <row r="33" spans="1:4" ht="45" customHeight="1" x14ac:dyDescent="0.3">
      <c r="A33" s="19" t="s">
        <v>30</v>
      </c>
      <c r="B33" s="36" t="s">
        <v>190</v>
      </c>
      <c r="C33" s="36" t="s">
        <v>191</v>
      </c>
      <c r="D33" s="35" t="s">
        <v>192</v>
      </c>
    </row>
    <row r="34" spans="1:4" ht="45" customHeight="1" x14ac:dyDescent="0.3">
      <c r="A34" s="19" t="s">
        <v>37</v>
      </c>
      <c r="B34" s="36" t="s">
        <v>193</v>
      </c>
      <c r="C34" s="36" t="s">
        <v>194</v>
      </c>
      <c r="D34" s="35" t="s">
        <v>195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Ngiieen nee</cp:lastModifiedBy>
  <dcterms:created xsi:type="dcterms:W3CDTF">2026-05-07T22:28:42Z</dcterms:created>
  <dcterms:modified xsi:type="dcterms:W3CDTF">2026-06-05T04:58:32Z</dcterms:modified>
</cp:coreProperties>
</file>